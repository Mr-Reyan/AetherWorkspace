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32DDE7-6429-4684-A15A-A72CF68C8EA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Test Cases" sheetId="1" r:id="rId1"/>
    <sheet name="Summary" sheetId="2" r:id="rId2"/>
  </sheets>
  <definedNames>
    <definedName name="_xlnm._FilterDatabase" localSheetId="0" hidden="1">'Test Cases'!$A$1:$L$76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2" l="1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B8" i="2"/>
  <c r="B7" i="2"/>
  <c r="B6" i="2"/>
  <c r="B5" i="2"/>
  <c r="B9" i="2" s="1"/>
  <c r="B4" i="2"/>
</calcChain>
</file>

<file path=xl/sharedStrings.xml><?xml version="1.0" encoding="utf-8"?>
<sst xmlns="http://schemas.openxmlformats.org/spreadsheetml/2006/main" count="871" uniqueCount="423">
  <si>
    <t>Test ID</t>
  </si>
  <si>
    <t>Feature</t>
  </si>
  <si>
    <t>Preconditions</t>
  </si>
  <si>
    <t>Steps</t>
  </si>
  <si>
    <t>Input</t>
  </si>
  <si>
    <t>Expected</t>
  </si>
  <si>
    <t>Actual</t>
  </si>
  <si>
    <t>Status</t>
  </si>
  <si>
    <t>Defect ID</t>
  </si>
  <si>
    <t>Evidence Link</t>
  </si>
  <si>
    <t>Test Type</t>
  </si>
  <si>
    <t>Automated Test (file::class::test)</t>
  </si>
  <si>
    <t>TC-AUTH-01</t>
  </si>
  <si>
    <t>Auth - Registration</t>
  </si>
  <si>
    <t>User 'khalid' does not exist</t>
  </si>
  <si>
    <t>POST /api/v1/auth/register/</t>
  </si>
  <si>
    <t>username=khalid, password=Str0ng!pass9</t>
  </si>
  <si>
    <t>201; username returned; user saved with role MEMBER; password stored hashed and verifiable</t>
  </si>
  <si>
    <t>Matched expected result; pytest reported PASSED.</t>
  </si>
  <si>
    <t>Pass</t>
  </si>
  <si>
    <t>Positive</t>
  </si>
  <si>
    <t>test_auth.py::TestRegister::test_positive_creates_user_with_member_role</t>
  </si>
  <si>
    <t>TC-AUTH-02</t>
  </si>
  <si>
    <t>None</t>
  </si>
  <si>
    <t>username=khalid, password=short</t>
  </si>
  <si>
    <t>400 with 'password' validation error</t>
  </si>
  <si>
    <t>Boundary</t>
  </si>
  <si>
    <t>test_auth.py::TestRegister::test_negative_short_password</t>
  </si>
  <si>
    <t>TC-AUTH-03</t>
  </si>
  <si>
    <t>User 'Khalid' already exists</t>
  </si>
  <si>
    <t>400 with 'username' error (case-insensitive uniqueness)</t>
  </si>
  <si>
    <t>Duplicate/Retry</t>
  </si>
  <si>
    <t>test_auth.py::TestRegister::test_negative_duplicate_username_case_insensitive</t>
  </si>
  <si>
    <t>TC-AUTH-04</t>
  </si>
  <si>
    <t>Empty body {}</t>
  </si>
  <si>
    <t>400 with errors for both 'username' and 'password'</t>
  </si>
  <si>
    <t>Negative</t>
  </si>
  <si>
    <t>test_auth.py::TestRegister::test_negative_missing_fields</t>
  </si>
  <si>
    <t>TC-AUTH-05</t>
  </si>
  <si>
    <t>username='kha lid!', valid password</t>
  </si>
  <si>
    <t>400 (spaces/special chars rejected)</t>
  </si>
  <si>
    <t>test_auth.py::TestRegister::test_negative_invalid_username_characters</t>
  </si>
  <si>
    <t>TC-AUTH-06</t>
  </si>
  <si>
    <t>Auth - Login</t>
  </si>
  <si>
    <t>User 'khalid' exists</t>
  </si>
  <si>
    <t>POST /api/v1/auth/login/</t>
  </si>
  <si>
    <t>Valid username and password</t>
  </si>
  <si>
    <t>200; response contains 'access' and 'refresh' tokens</t>
  </si>
  <si>
    <t>test_auth.py::TestLogin::test_positive_returns_access_and_refresh</t>
  </si>
  <si>
    <t>TC-AUTH-07</t>
  </si>
  <si>
    <t>username=khalid, password=wrong</t>
  </si>
  <si>
    <t>401</t>
  </si>
  <si>
    <t>test_auth.py::TestLogin::test_negative_wrong_password</t>
  </si>
  <si>
    <t>TC-AUTH-08</t>
  </si>
  <si>
    <t>No such user</t>
  </si>
  <si>
    <t>username=nobody, password=x</t>
  </si>
  <si>
    <t>test_auth.py::TestLogin::test_negative_nonexistent_user</t>
  </si>
  <si>
    <t>TC-AUTH-09</t>
  </si>
  <si>
    <t>Auth - Current user</t>
  </si>
  <si>
    <t>GET /api/v1/auth/me/ with no credentials</t>
  </si>
  <si>
    <t>No token</t>
  </si>
  <si>
    <t>Authorization</t>
  </si>
  <si>
    <t>test_auth.py::TestMe::test_requires_auth</t>
  </si>
  <si>
    <t>TC-AUTH-10</t>
  </si>
  <si>
    <t>User 'sara' authenticated</t>
  </si>
  <si>
    <t>GET /api/v1/auth/me/</t>
  </si>
  <si>
    <t>Authenticated as sara</t>
  </si>
  <si>
    <t>200; username=sara</t>
  </si>
  <si>
    <t>test_auth.py::TestMe::test_returns_current_user</t>
  </si>
  <si>
    <t>TC-AUTH-11</t>
  </si>
  <si>
    <t>Auth - Logout</t>
  </si>
  <si>
    <t>User logged in; has refresh token</t>
  </si>
  <si>
    <t>1) POST /auth/logout/ with refresh token; 2) POST /auth/refresh/ with the same token</t>
  </si>
  <si>
    <t>Valid refresh token</t>
  </si>
  <si>
    <t>Logout returns 204; reusing the blacklisted refresh token returns 401</t>
  </si>
  <si>
    <t>test_auth.py::TestLogout::test_positive_blacklists_refresh</t>
  </si>
  <si>
    <t>TC-AUTH-12</t>
  </si>
  <si>
    <t>User authenticated</t>
  </si>
  <si>
    <t>POST /api/v1/auth/logout/</t>
  </si>
  <si>
    <t>Empty body</t>
  </si>
  <si>
    <t>400</t>
  </si>
  <si>
    <t>test_auth.py::TestLogout::test_negative_missing_refresh</t>
  </si>
  <si>
    <t>TC-AUTH-13</t>
  </si>
  <si>
    <t>refresh='garbage'</t>
  </si>
  <si>
    <t>test_auth.py::TestLogout::test_negative_invalid_refresh</t>
  </si>
  <si>
    <t>TC-AUTH-14</t>
  </si>
  <si>
    <t>POST /api/v1/auth/logout/ with no credentials</t>
  </si>
  <si>
    <t>refresh='x'</t>
  </si>
  <si>
    <t>test_auth.py::TestLogout::test_requires_auth</t>
  </si>
  <si>
    <t>TC-WS-01</t>
  </si>
  <si>
    <t>Workspace - Create</t>
  </si>
  <si>
    <t>POST /api/v1/workspaces/</t>
  </si>
  <si>
    <t>name=Alpha</t>
  </si>
  <si>
    <t>201; role=owner; member_count=1; created_by is the user; membership row exists</t>
  </si>
  <si>
    <t>test_workspace.py::TestWorkspaceCreate::test_positive_creator_is_member_and_owner</t>
  </si>
  <si>
    <t>TC-WS-02</t>
  </si>
  <si>
    <t>400 with 'name' error</t>
  </si>
  <si>
    <t>test_workspace.py::TestWorkspaceCreate::test_negative_missing_name</t>
  </si>
  <si>
    <t>TC-WS-03</t>
  </si>
  <si>
    <t>name='   '</t>
  </si>
  <si>
    <t>test_workspace.py::TestWorkspaceCreate::test_negative_whitespace_name</t>
  </si>
  <si>
    <t>TC-WS-04</t>
  </si>
  <si>
    <t>name = 51 characters</t>
  </si>
  <si>
    <t>400 (max length 50)</t>
  </si>
  <si>
    <t>test_workspace.py::TestWorkspaceCreate::test_negative_name_too_long</t>
  </si>
  <si>
    <t>TC-WS-05</t>
  </si>
  <si>
    <t>POST /api/v1/workspaces/ with no credentials</t>
  </si>
  <si>
    <t>name=A</t>
  </si>
  <si>
    <t>test_workspace.py::TestWorkspaceCreate::test_requires_auth</t>
  </si>
  <si>
    <t>TC-WS-06</t>
  </si>
  <si>
    <t>Workspace - List</t>
  </si>
  <si>
    <t>Users A and B each own a workspace</t>
  </si>
  <si>
    <t>GET /api/v1/workspaces/ as A</t>
  </si>
  <si>
    <t>Authenticated as A</t>
  </si>
  <si>
    <t>200; A's workspace listed, B's workspace not listed</t>
  </si>
  <si>
    <t>test_workspace.py::TestWorkspaceList::test_only_returns_my_workspaces</t>
  </si>
  <si>
    <t>TC-WS-07</t>
  </si>
  <si>
    <t>Invitee is a member of owner's workspace</t>
  </si>
  <si>
    <t>GET /api/v1/workspaces/ as invitee</t>
  </si>
  <si>
    <t>Authenticated as invitee</t>
  </si>
  <si>
    <t>200; workspace listed with role=member</t>
  </si>
  <si>
    <t>test_workspace.py::TestWorkspaceList::test_includes_workspaces_i_was_invited_to</t>
  </si>
  <si>
    <t>TC-WS-08</t>
  </si>
  <si>
    <t>Workspace - Detail</t>
  </si>
  <si>
    <t>User is a member</t>
  </si>
  <si>
    <t>GET /api/v1/workspaces/{id}/</t>
  </si>
  <si>
    <t>Authenticated as member</t>
  </si>
  <si>
    <t>200</t>
  </si>
  <si>
    <t>test_workspace.py::TestWorkspaceDetail::test_member_can_view</t>
  </si>
  <si>
    <t>TC-WS-09</t>
  </si>
  <si>
    <t>User is not a member</t>
  </si>
  <si>
    <t>Authenticated as stranger</t>
  </si>
  <si>
    <t>404 (existence not leaked)</t>
  </si>
  <si>
    <t>test_workspace.py::TestWorkspaceDetail::test_non_member_gets_404_not_403</t>
  </si>
  <si>
    <t>TC-WS-10</t>
  </si>
  <si>
    <t>GET /api/v1/workspaces/00000000-0000-0000-0000-000000000000/</t>
  </si>
  <si>
    <t>Unknown UUID</t>
  </si>
  <si>
    <t>404</t>
  </si>
  <si>
    <t>test_workspace.py::TestWorkspaceDetail::test_nonexistent_workspace_404</t>
  </si>
  <si>
    <t>TC-INV-01</t>
  </si>
  <si>
    <t>Invites - Create</t>
  </si>
  <si>
    <t>User owns workspace</t>
  </si>
  <si>
    <t>POST /api/v1/workspaces/{id}/invites/</t>
  </si>
  <si>
    <t>max_uses=3</t>
  </si>
  <si>
    <t>201; max_uses=3, uses=0; token generated; redeem_url ends with token</t>
  </si>
  <si>
    <t>test_invites.py::TestInviteCreate::test_owner_can_create</t>
  </si>
  <si>
    <t>TC-INV-02</t>
  </si>
  <si>
    <t>User is member but not owner</t>
  </si>
  <si>
    <t>403</t>
  </si>
  <si>
    <t>test_invites.py::TestInviteCreate::test_member_not_owner_403</t>
  </si>
  <si>
    <t>TC-INV-03</t>
  </si>
  <si>
    <t>test_invites.py::TestInviteCreate::test_non_member_404</t>
  </si>
  <si>
    <t>TC-INV-04</t>
  </si>
  <si>
    <t>POST /api/v1/workspaces/{id}/invites/ twice</t>
  </si>
  <si>
    <t>max_uses=0, then max_uses=999</t>
  </si>
  <si>
    <t>Both requests return 400</t>
  </si>
  <si>
    <t>test_invites.py::TestInviteCreate::test_max_uses_out_of_range</t>
  </si>
  <si>
    <t>TC-INV-05</t>
  </si>
  <si>
    <t>expires_at = 1 day in the past</t>
  </si>
  <si>
    <t>test_invites.py::TestInviteCreate::test_expires_in_past_rejected</t>
  </si>
  <si>
    <t>TC-INV-06</t>
  </si>
  <si>
    <t>expires_at = 100 days in the future</t>
  </si>
  <si>
    <t>400 (exceeds maximum lifetime)</t>
  </si>
  <si>
    <t>test_invites.py::TestInviteCreate::test_expires_too_far_future_rejected</t>
  </si>
  <si>
    <t>TC-INV-07</t>
  </si>
  <si>
    <t>Invites - Redeem</t>
  </si>
  <si>
    <t>Valid invite (max_uses=1)</t>
  </si>
  <si>
    <t>POST /api/v1/workspaces/join/{token}/</t>
  </si>
  <si>
    <t>Invitee with valid token</t>
  </si>
  <si>
    <t>200; membership created; invite uses=1</t>
  </si>
  <si>
    <t>test_invites.py::TestInviteRedeem::test_positive_joins</t>
  </si>
  <si>
    <t>TC-INV-08</t>
  </si>
  <si>
    <t>Valid invite (max_uses=2)</t>
  </si>
  <si>
    <t>POST /api/v1/workspaces/join/{token}/ twice as same user</t>
  </si>
  <si>
    <t>Same invitee, same token</t>
  </si>
  <si>
    <t>Both return 200; uses stays 1; only one membership row</t>
  </si>
  <si>
    <t>test_invites.py::TestInviteRedeem::test_idempotent_redeem_does_not_burn_use</t>
  </si>
  <si>
    <t>TC-INV-09</t>
  </si>
  <si>
    <t>Invite expired 1 second ago</t>
  </si>
  <si>
    <t>Expired token</t>
  </si>
  <si>
    <t>410</t>
  </si>
  <si>
    <t>test_invites.py::TestInviteRedeem::test_expired_returns_410</t>
  </si>
  <si>
    <t>TC-INV-10</t>
  </si>
  <si>
    <t>Invite max_uses=1 already used by user A</t>
  </si>
  <si>
    <t>POST /api/v1/workspaces/join/{token}/ as user B</t>
  </si>
  <si>
    <t>Exhausted token</t>
  </si>
  <si>
    <t>test_invites.py::TestInviteRedeem::test_exhausted_returns_410</t>
  </si>
  <si>
    <t>TC-INV-11</t>
  </si>
  <si>
    <t>POST /api/v1/workspaces/join/does-not-exist/</t>
  </si>
  <si>
    <t>Unknown token</t>
  </si>
  <si>
    <t>test_invites.py::TestInviteRedeem::test_invalid_token_404</t>
  </si>
  <si>
    <t>TC-INV-12</t>
  </si>
  <si>
    <t>POST /api/v1/workspaces/join/x/ with no credentials</t>
  </si>
  <si>
    <t>Any token</t>
  </si>
  <si>
    <t>test_invites.py::TestInviteRedeem::test_requires_auth</t>
  </si>
  <si>
    <t>TC-UP-01</t>
  </si>
  <si>
    <t>Documents - Upload</t>
  </si>
  <si>
    <t>User is not a workspace member</t>
  </si>
  <si>
    <t>POST /api/v1/workspaces/{id}/documents/</t>
  </si>
  <si>
    <t>Valid PDF</t>
  </si>
  <si>
    <t>test_upload.py::TestUploadAuth::test_non_member_404</t>
  </si>
  <si>
    <t>TC-UP-02</t>
  </si>
  <si>
    <t>POST /api/v1/workspaces/{id}/documents/ with no credentials</t>
  </si>
  <si>
    <t>test_upload.py::TestUploadAuth::test_requires_auth</t>
  </si>
  <si>
    <t>TC-UP-03</t>
  </si>
  <si>
    <t>Member of workspace</t>
  </si>
  <si>
    <t>a.pdf (valid PDF, application/pdf)</t>
  </si>
  <si>
    <t>201; status=PENDING; Document row created with workspace and owner</t>
  </si>
  <si>
    <t>test_upload.py::TestUploadValidation::test_positive_pdf</t>
  </si>
  <si>
    <t>TC-UP-04</t>
  </si>
  <si>
    <t>a.txt (UTF-8 text)</t>
  </si>
  <si>
    <t>201</t>
  </si>
  <si>
    <t>test_upload.py::TestUploadValidation::test_positive_txt</t>
  </si>
  <si>
    <t>TC-UP-05</t>
  </si>
  <si>
    <t>No file field</t>
  </si>
  <si>
    <t>400 with 'file' error</t>
  </si>
  <si>
    <t>test_upload.py::TestUploadValidation::test_negative_missing_file</t>
  </si>
  <si>
    <t>TC-UP-06</t>
  </si>
  <si>
    <t>a.exe, application/octet-stream</t>
  </si>
  <si>
    <t>400 (type not allowed)</t>
  </si>
  <si>
    <t>test_upload.py::TestUploadValidation::test_negative_unsupported_type</t>
  </si>
  <si>
    <t>TC-UP-07</t>
  </si>
  <si>
    <t>a.txt of 21 MB</t>
  </si>
  <si>
    <t>400 (limit 20 MB)</t>
  </si>
  <si>
    <t>test_upload.py::TestUploadValidation::test_negative_oversize</t>
  </si>
  <si>
    <t>TC-UP-08</t>
  </si>
  <si>
    <t>a.txt with 0 bytes</t>
  </si>
  <si>
    <t>test_upload.py::TestUploadValidation::test_negative_empty_file</t>
  </si>
  <si>
    <t>TC-UP-09</t>
  </si>
  <si>
    <t>fake.pdf declared application/pdf, content is plain text</t>
  </si>
  <si>
    <t>400 (magic-byte check rejects spoofed type)</t>
  </si>
  <si>
    <t>test_upload.py::TestUploadValidation::test_negative_pdf_content_type_but_not_pdf_bytes</t>
  </si>
  <si>
    <t>TC-UP-10</t>
  </si>
  <si>
    <t>a.txt with invalid UTF-8 bytes</t>
  </si>
  <si>
    <t>test_upload.py::TestUploadValidation::test_negative_txt_not_utf8</t>
  </si>
  <si>
    <t>TC-UP-11</t>
  </si>
  <si>
    <t>Member; ingestion enqueue mocked</t>
  </si>
  <si>
    <t>POST /api/v1/workspaces/{id}/documents/ and run on_commit callbacks</t>
  </si>
  <si>
    <t>201; _enqueue_ingestion called exactly once with the new document id</t>
  </si>
  <si>
    <t>test_upload.py::TestUploadValidation::test_upload_schedules_ingestion</t>
  </si>
  <si>
    <t>TC-DEL-01</t>
  </si>
  <si>
    <t>Documents - Delete</t>
  </si>
  <si>
    <t>User owns a document with one chunk</t>
  </si>
  <si>
    <t>DELETE /api/v1/workspaces/{id}/documents/{doc_id}/</t>
  </si>
  <si>
    <t>Document id</t>
  </si>
  <si>
    <t>204; document removed; its chunks cascade-deleted</t>
  </si>
  <si>
    <t>test_documents_delete.py::TestDelete::test_owner_can_delete_and_chunks_cascade</t>
  </si>
  <si>
    <t>TC-DEL-02</t>
  </si>
  <si>
    <t>Workspace member who is not the document owner</t>
  </si>
  <si>
    <t>Another member's document id</t>
  </si>
  <si>
    <t>test_documents_delete.py::TestDelete::test_other_member_403</t>
  </si>
  <si>
    <t>TC-DEL-03</t>
  </si>
  <si>
    <t>test_documents_delete.py::TestDelete::test_non_member_404</t>
  </si>
  <si>
    <t>TC-DEL-04</t>
  </si>
  <si>
    <t>Past request referencing chunks of a deleted document</t>
  </si>
  <si>
    <t>Delete the document; view request detail</t>
  </si>
  <si>
    <t>Past request id</t>
  </si>
  <si>
    <t>Request row retained; citations resolve to [] in detail view. NOTE: test is marked @pytest.mark.skip in the suite (documented design decision)</t>
  </si>
  <si>
    <t>Skipped via @pytest.mark.skip: past Request rows intentionally keep retrieved_chunk_ids pointing at deleted chunks; citations resolve to [] in the detail view (documented design decision).</t>
  </si>
  <si>
    <t>Skipped</t>
  </si>
  <si>
    <t>Regression</t>
  </si>
  <si>
    <t>test_documents_delete.py::TestDelete::test_request_history_survives_delete</t>
  </si>
  <si>
    <t>TC-ASK-01</t>
  </si>
  <si>
    <t>Ask - RAG answer</t>
  </si>
  <si>
    <t>Workspace with a READY document and chunk; embed, rerank and LLM mocked</t>
  </si>
  <si>
    <t>POST /api/v1/workspaces/{id}/ask/</t>
  </si>
  <si>
    <t>question='What is the capital of Togo?'</t>
  </si>
  <si>
    <t>200; status=SUCCESS; answer contains 'Lomé'; Request has tokens_in=100, tokens_out=20; one UsageEvent recorded</t>
  </si>
  <si>
    <t>test_ask.py::TestAskSuccess::test_positive_writes_request_and_usage</t>
  </si>
  <si>
    <t>TC-ASK-02</t>
  </si>
  <si>
    <t>Ask - Unsupported answers</t>
  </si>
  <si>
    <t>Retrieval mocked to return similarity 0.05</t>
  </si>
  <si>
    <t>question='unrelated question'</t>
  </si>
  <si>
    <t>200; status=NOT_FOUND; LLM is never called</t>
  </si>
  <si>
    <t>test_ask.py::TestAskSuccess::test_low_similarity_skips_llm_and_marks_not_found</t>
  </si>
  <si>
    <t>TC-ASK-03</t>
  </si>
  <si>
    <t>Ask - Service failure</t>
  </si>
  <si>
    <t>LLM mocked to raise RuntimeError</t>
  </si>
  <si>
    <t>question='anything'</t>
  </si>
  <si>
    <t>500; latest Request has status=FAILED</t>
  </si>
  <si>
    <t>test_ask.py::TestAskSuccess::test_llm_failure_marks_failed</t>
  </si>
  <si>
    <t>TC-ASK-04</t>
  </si>
  <si>
    <t>Ask - Data isolation</t>
  </si>
  <si>
    <t>A and B in same workspace; only A has a document</t>
  </si>
  <si>
    <t>POST /api/v1/workspaces/{id}/ask/ as B</t>
  </si>
  <si>
    <t>question about A's secret</t>
  </si>
  <si>
    <t>200; status=NOT_FOUND (B cannot retrieve A's chunks)</t>
  </si>
  <si>
    <t>test_ask.py::TestAskIsolation::test_member_cannot_query_other_members_docs</t>
  </si>
  <si>
    <t>TC-ASK-05</t>
  </si>
  <si>
    <t>Ask - Document exclusion</t>
  </si>
  <si>
    <t>User's only document is excluded</t>
  </si>
  <si>
    <t>excluded_document_ids=[own doc id]</t>
  </si>
  <si>
    <t>status=NOT_FOUND; LLM not called</t>
  </si>
  <si>
    <t>test_ask.py::TestAskExclusions::test_excluding_own_document_returns_not_found</t>
  </si>
  <si>
    <t>TC-ASK-06</t>
  </si>
  <si>
    <t>A's document exists; B is workspace member</t>
  </si>
  <si>
    <t>excluded_document_ids=[A's doc id]</t>
  </si>
  <si>
    <t>test_ask.py::TestAskExclusions::test_cannot_exclude_other_users_document</t>
  </si>
  <si>
    <t>TC-ASK-07</t>
  </si>
  <si>
    <t>Ask - Input validation</t>
  </si>
  <si>
    <t>excluded_document_ids=["'; DROP TABLE"]</t>
  </si>
  <si>
    <t>400 (invalid UUID rejected, no injection)</t>
  </si>
  <si>
    <t>test_ask.py::TestAskExclusions::test_malicious_uuid_payload_rejected</t>
  </si>
  <si>
    <t>TC-HIST-01</t>
  </si>
  <si>
    <t>Request history</t>
  </si>
  <si>
    <t>A and B each have a request in the same workspace</t>
  </si>
  <si>
    <t>GET /api/v1/workspaces/{id}/requests/ as A</t>
  </si>
  <si>
    <t>200; A's question listed, B's not</t>
  </si>
  <si>
    <t>test_history.py::TestHistory::test_only_own_requests_visible</t>
  </si>
  <si>
    <t>TC-HIST-02</t>
  </si>
  <si>
    <t>A has a request; B is workspace member</t>
  </si>
  <si>
    <t>GET /api/v1/workspaces/{id}/requests/{request_id}/ as B</t>
  </si>
  <si>
    <t>A's request id</t>
  </si>
  <si>
    <t>test_history.py::TestHistory::test_detail_404_for_other_users_request</t>
  </si>
  <si>
    <t>TC-HIST-03</t>
  </si>
  <si>
    <t>Request references a chunk id</t>
  </si>
  <si>
    <t>GET /api/v1/workspaces/{id}/requests/{request_id}/</t>
  </si>
  <si>
    <t>Own request id</t>
  </si>
  <si>
    <t>200; citations[0].content == 'evidence'</t>
  </si>
  <si>
    <t>test_history.py::TestHistory::test_detail_resolves_citations</t>
  </si>
  <si>
    <t>TC-ING-01</t>
  </si>
  <si>
    <t>Ingestion</t>
  </si>
  <si>
    <t>PENDING txt document in storage; embedding mocked</t>
  </si>
  <si>
    <t>Call ingest_document(doc.id)</t>
  </si>
  <si>
    <t>Text file with repeated content</t>
  </si>
  <si>
    <t>Status becomes READY; chunk count &gt; 0</t>
  </si>
  <si>
    <t>test_ingestion.py::TestIngestion::test_positive_txt_creates_chunks_and_ready</t>
  </si>
  <si>
    <t>TC-ING-02</t>
  </si>
  <si>
    <t>PENDING PDF with no text layer</t>
  </si>
  <si>
    <t>Empty PDF</t>
  </si>
  <si>
    <t>Status FAILED; error message recorded</t>
  </si>
  <si>
    <t>test_ingestion.py::TestIngestion::test_empty_pdf_marks_failed</t>
  </si>
  <si>
    <t>TC-ING-03</t>
  </si>
  <si>
    <t>Embedding backend mocked to return 1 vector for many chunks</t>
  </si>
  <si>
    <t>Long text file</t>
  </si>
  <si>
    <t>Status FAILED</t>
  </si>
  <si>
    <t>test_ingestion.py::TestIngestion::test_embedding_count_mismatch_marks_failed</t>
  </si>
  <si>
    <t>TC-ING-04</t>
  </si>
  <si>
    <t>Embedding backend mocked to raise RuntimeError</t>
  </si>
  <si>
    <t>Short text file</t>
  </si>
  <si>
    <t>Status FAILED; error contains 'OpenAI down'</t>
  </si>
  <si>
    <t>test_ingestion.py::TestIngestion::test_embed_backend_exception_marks_failed</t>
  </si>
  <si>
    <t>TC-ING-05</t>
  </si>
  <si>
    <t>Embedding mocked</t>
  </si>
  <si>
    <t>Call ingest_document twice on same doc</t>
  </si>
  <si>
    <t>Same document</t>
  </si>
  <si>
    <t>Chunk count identical after both runs (delete-before-insert)</t>
  </si>
  <si>
    <t>test_ingestion.py::TestIngestion::test_reingest_is_idempotent</t>
  </si>
  <si>
    <t>TC-RET-01</t>
  </si>
  <si>
    <t>Retrieval - Isolation</t>
  </si>
  <si>
    <t>A and B in same workspace, each with a chunk</t>
  </si>
  <si>
    <t>retrieve_context as user A</t>
  </si>
  <si>
    <t>query='secret'</t>
  </si>
  <si>
    <t>Results include 'secret-A' and exclude 'secret-B'</t>
  </si>
  <si>
    <t>test_retrieval.py::TestRetrievalIsolation::test_a_only_sees_a_chunks</t>
  </si>
  <si>
    <t>TC-RET-02</t>
  </si>
  <si>
    <t>Same as above</t>
  </si>
  <si>
    <t>retrieve_context as user B</t>
  </si>
  <si>
    <t>Results include 'secret-B' and exclude 'secret-A'</t>
  </si>
  <si>
    <t>test_retrieval.py::TestRetrievalIsolation::test_b_only_sees_b_chunks</t>
  </si>
  <si>
    <t>TC-RET-03</t>
  </si>
  <si>
    <t>Separate workspace has a chunk 'foreign'</t>
  </si>
  <si>
    <t>retrieve_context scoped to first workspace</t>
  </si>
  <si>
    <t>query='x'</t>
  </si>
  <si>
    <t>'foreign' never returned</t>
  </si>
  <si>
    <t>test_retrieval.py::TestRetrievalIsolation::test_other_workspace_never_visible</t>
  </si>
  <si>
    <t>TC-RET-04</t>
  </si>
  <si>
    <t>Retrieval - Exclusion</t>
  </si>
  <si>
    <t>A's document exists</t>
  </si>
  <si>
    <t>retrieve_context with excluded_document_ids=[A's doc]</t>
  </si>
  <si>
    <t>Empty result</t>
  </si>
  <si>
    <t>test_retrieval.py::TestRetrievalIsolation::test_excluded_document_removed</t>
  </si>
  <si>
    <t>TC-RET-05</t>
  </si>
  <si>
    <t>Retrieval - Status filter</t>
  </si>
  <si>
    <t>A's document set to PENDING</t>
  </si>
  <si>
    <t>retrieve_context as A</t>
  </si>
  <si>
    <t>test_retrieval.py::TestRetrievalIsolation::test_pending_document_not_retrieved</t>
  </si>
  <si>
    <t>TC-RET-06</t>
  </si>
  <si>
    <t>A's document set to FAILED</t>
  </si>
  <si>
    <t>test_retrieval.py::TestRetrievalIsolation::test_failed_document_not_retrieved</t>
  </si>
  <si>
    <t>TC-USE-01</t>
  </si>
  <si>
    <t>Usage limits</t>
  </si>
  <si>
    <t>USAGE_TOKEN_LIMIT_30D=200; first ask consumes 200 tokens</t>
  </si>
  <si>
    <t>POST /api/v1/workspaces/{id}/ask/ twice</t>
  </si>
  <si>
    <t>q1 then q2</t>
  </si>
  <si>
    <t>1st: 200. 2nd: 429 with Retry-After header; usage.is_exceeded=true; only 1 Request row saved</t>
  </si>
  <si>
    <t>test_usage.py::TestUsageLimit::test_second_ask_returns_429</t>
  </si>
  <si>
    <t>TC-USE-02</t>
  </si>
  <si>
    <t>Limit=200; one ask consuming 100 tokens</t>
  </si>
  <si>
    <t>1) POST ask; 2) GET /api/v1/usage/</t>
  </si>
  <si>
    <t>q1</t>
  </si>
  <si>
    <t>200; used_tokens=100; limit_tokens=200; is_exceeded=false</t>
  </si>
  <si>
    <t>test_usage.py::TestUsageLimit::test_usage_endpoint_reflects_usage</t>
  </si>
  <si>
    <t>TC-USE-03</t>
  </si>
  <si>
    <t>A and B in same workspace; A makes a request</t>
  </si>
  <si>
    <t>GET /api/v1/usage/ as B</t>
  </si>
  <si>
    <t>Authenticated as B</t>
  </si>
  <si>
    <t>used_tokens=0 (usage tracked per user)</t>
  </si>
  <si>
    <t>test_usage.py::TestUsagePerUser::test_user_a_usage_does_not_affect_user_b</t>
  </si>
  <si>
    <t>Test Execution Summary - Project 1: AI SaaS Workspace</t>
  </si>
  <si>
    <t>Overall results</t>
  </si>
  <si>
    <t>Total test cases</t>
  </si>
  <si>
    <t>Fail</t>
  </si>
  <si>
    <t>Not Run</t>
  </si>
  <si>
    <t>Pass rate (of executed)</t>
  </si>
  <si>
    <t>By test type</t>
  </si>
  <si>
    <t>Type</t>
  </si>
  <si>
    <t>Total</t>
  </si>
  <si>
    <t>Execution proof</t>
  </si>
  <si>
    <t>Command run</t>
  </si>
  <si>
    <t>pytest -v --reuse-db</t>
  </si>
  <si>
    <t>Run date</t>
  </si>
  <si>
    <t>2026-10-25</t>
  </si>
  <si>
    <t>Environment</t>
  </si>
  <si>
    <t>Windows, Python 3.13.7, pytest 9.1.1, Django 5.2.8, pytest-django 4.12.0</t>
  </si>
  <si>
    <t>Result line</t>
  </si>
  <si>
    <t>74 passed, 1 skipped in 254.00s (0:04:13); 75 collected</t>
  </si>
  <si>
    <t>Console log / screenshot link</t>
  </si>
  <si>
    <t>Notes</t>
  </si>
  <si>
    <t>Expected results are derived from the assertions in the automated tests; Actual/Status come from the pytest run.</t>
  </si>
  <si>
    <t>External services (embedding, rerank, LLM) are mocked in tests; this suite does not exercise live provider calls.</t>
  </si>
  <si>
    <t>Test Type column uses: Positive, Negative, Boundary, Authorization, Duplicate/Retry, Regression.</t>
  </si>
  <si>
    <t>https://drive.google.com/file/d/1Z_njejf7LePGmBSeIpiYEF_N8vBbfnCU/view?usp=sharing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</si>
</sst>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name val="Arial"/>
      <charset val="1"/>
    </font>
    <font>
      <sz val="11"/>
      <color theme="1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0" fontId="6" fillId="3" borderId="0" xfId="0" applyFont="1" applyFill="1"/>
  </cellXfs>
  <cellStyles count="1">
    <cellStyle name="Normal" xfId="0" builtinId="0"/>
  </cellStyles>
  <dxfs count="4">
    <dxf>
      <fill>
        <patternFill>
          <bgColor rgb="FFD9D9D9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B9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zoomScaleNormal="100" workbookViewId="0">
      <pane xSplit="1" ySplit="1" topLeftCell="B39" activePane="bottomRight" state="frozen"/>
      <selection pane="topRight" activeCell="B1" sqref="B1"/>
      <selection pane="bottomLeft" activeCell="A2" sqref="A2"/>
      <selection pane="bottomRight" activeCell="J6" sqref="J6"/>
    </sheetView>
  </sheetViews>
  <sheetFormatPr defaultColWidth="8.6640625" defaultRowHeight="14.4" x14ac:dyDescent="0.3"/>
  <cols>
    <col min="1" max="1" width="14" customWidth="1"/>
    <col min="2" max="2" width="22" customWidth="1"/>
    <col min="3" max="3" width="30" customWidth="1"/>
    <col min="4" max="4" width="34" customWidth="1"/>
    <col min="5" max="5" width="30" customWidth="1"/>
    <col min="6" max="6" width="44" customWidth="1"/>
    <col min="7" max="7" width="30" customWidth="1"/>
    <col min="8" max="9" width="12" customWidth="1"/>
    <col min="10" max="10" width="22" customWidth="1"/>
    <col min="11" max="11" width="16" customWidth="1"/>
    <col min="12" max="12" width="5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6.4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/>
      <c r="J2" s="2" t="s">
        <v>422</v>
      </c>
      <c r="K2" s="2" t="s">
        <v>20</v>
      </c>
      <c r="L2" s="2" t="s">
        <v>21</v>
      </c>
    </row>
    <row r="3" spans="1:12" ht="52.8" x14ac:dyDescent="0.3">
      <c r="A3" s="2" t="s">
        <v>22</v>
      </c>
      <c r="B3" s="2" t="s">
        <v>13</v>
      </c>
      <c r="C3" s="2" t="s">
        <v>23</v>
      </c>
      <c r="D3" s="2" t="s">
        <v>15</v>
      </c>
      <c r="E3" s="2" t="s">
        <v>24</v>
      </c>
      <c r="F3" s="2" t="s">
        <v>25</v>
      </c>
      <c r="G3" s="2" t="s">
        <v>18</v>
      </c>
      <c r="H3" s="2" t="s">
        <v>19</v>
      </c>
      <c r="I3" s="2"/>
      <c r="J3" s="2" t="s">
        <v>422</v>
      </c>
      <c r="K3" s="2" t="s">
        <v>26</v>
      </c>
      <c r="L3" s="2" t="s">
        <v>27</v>
      </c>
    </row>
    <row r="4" spans="1:12" ht="52.8" x14ac:dyDescent="0.3">
      <c r="A4" s="2" t="s">
        <v>28</v>
      </c>
      <c r="B4" s="2" t="s">
        <v>13</v>
      </c>
      <c r="C4" s="2" t="s">
        <v>29</v>
      </c>
      <c r="D4" s="2" t="s">
        <v>15</v>
      </c>
      <c r="E4" s="2" t="s">
        <v>16</v>
      </c>
      <c r="F4" s="2" t="s">
        <v>30</v>
      </c>
      <c r="G4" s="2" t="s">
        <v>18</v>
      </c>
      <c r="H4" s="2" t="s">
        <v>19</v>
      </c>
      <c r="I4" s="2"/>
      <c r="J4" s="2" t="s">
        <v>422</v>
      </c>
      <c r="K4" s="2" t="s">
        <v>31</v>
      </c>
      <c r="L4" s="2" t="s">
        <v>32</v>
      </c>
    </row>
    <row r="5" spans="1:12" ht="52.8" x14ac:dyDescent="0.3">
      <c r="A5" s="2" t="s">
        <v>33</v>
      </c>
      <c r="B5" s="2" t="s">
        <v>13</v>
      </c>
      <c r="C5" s="2" t="s">
        <v>23</v>
      </c>
      <c r="D5" s="2" t="s">
        <v>15</v>
      </c>
      <c r="E5" s="2" t="s">
        <v>34</v>
      </c>
      <c r="F5" s="2" t="s">
        <v>35</v>
      </c>
      <c r="G5" s="2" t="s">
        <v>18</v>
      </c>
      <c r="H5" s="2" t="s">
        <v>19</v>
      </c>
      <c r="I5" s="2"/>
      <c r="J5" s="2" t="s">
        <v>422</v>
      </c>
      <c r="K5" s="2" t="s">
        <v>36</v>
      </c>
      <c r="L5" s="2" t="s">
        <v>37</v>
      </c>
    </row>
    <row r="6" spans="1:12" ht="52.8" x14ac:dyDescent="0.3">
      <c r="A6" s="2" t="s">
        <v>38</v>
      </c>
      <c r="B6" s="2" t="s">
        <v>13</v>
      </c>
      <c r="C6" s="2" t="s">
        <v>23</v>
      </c>
      <c r="D6" s="2" t="s">
        <v>15</v>
      </c>
      <c r="E6" s="2" t="s">
        <v>39</v>
      </c>
      <c r="F6" s="2" t="s">
        <v>40</v>
      </c>
      <c r="G6" s="2" t="s">
        <v>18</v>
      </c>
      <c r="H6" s="2" t="s">
        <v>19</v>
      </c>
      <c r="I6" s="2"/>
      <c r="J6" s="2" t="s">
        <v>422</v>
      </c>
      <c r="K6" s="2" t="s">
        <v>36</v>
      </c>
      <c r="L6" s="2" t="s">
        <v>41</v>
      </c>
    </row>
    <row r="7" spans="1:12" ht="52.8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18</v>
      </c>
      <c r="H7" s="2" t="s">
        <v>19</v>
      </c>
      <c r="I7" s="2"/>
      <c r="J7" s="2" t="s">
        <v>422</v>
      </c>
      <c r="K7" s="2" t="s">
        <v>20</v>
      </c>
      <c r="L7" s="2" t="s">
        <v>48</v>
      </c>
    </row>
    <row r="8" spans="1:12" ht="52.8" x14ac:dyDescent="0.3">
      <c r="A8" s="2" t="s">
        <v>49</v>
      </c>
      <c r="B8" s="2" t="s">
        <v>43</v>
      </c>
      <c r="C8" s="2" t="s">
        <v>44</v>
      </c>
      <c r="D8" s="2" t="s">
        <v>45</v>
      </c>
      <c r="E8" s="2" t="s">
        <v>50</v>
      </c>
      <c r="F8" s="2" t="s">
        <v>51</v>
      </c>
      <c r="G8" s="2" t="s">
        <v>18</v>
      </c>
      <c r="H8" s="2" t="s">
        <v>19</v>
      </c>
      <c r="I8" s="2"/>
      <c r="J8" s="2" t="s">
        <v>422</v>
      </c>
      <c r="K8" s="2" t="s">
        <v>36</v>
      </c>
      <c r="L8" s="2" t="s">
        <v>52</v>
      </c>
    </row>
    <row r="9" spans="1:12" ht="52.8" x14ac:dyDescent="0.3">
      <c r="A9" s="2" t="s">
        <v>53</v>
      </c>
      <c r="B9" s="2" t="s">
        <v>43</v>
      </c>
      <c r="C9" s="2" t="s">
        <v>54</v>
      </c>
      <c r="D9" s="2" t="s">
        <v>45</v>
      </c>
      <c r="E9" s="2" t="s">
        <v>55</v>
      </c>
      <c r="F9" s="2" t="s">
        <v>51</v>
      </c>
      <c r="G9" s="2" t="s">
        <v>18</v>
      </c>
      <c r="H9" s="2" t="s">
        <v>19</v>
      </c>
      <c r="I9" s="2"/>
      <c r="J9" s="2" t="s">
        <v>422</v>
      </c>
      <c r="K9" s="2" t="s">
        <v>36</v>
      </c>
      <c r="L9" s="2" t="s">
        <v>56</v>
      </c>
    </row>
    <row r="10" spans="1:12" ht="52.8" x14ac:dyDescent="0.3">
      <c r="A10" s="2" t="s">
        <v>57</v>
      </c>
      <c r="B10" s="2" t="s">
        <v>58</v>
      </c>
      <c r="C10" s="2" t="s">
        <v>23</v>
      </c>
      <c r="D10" s="2" t="s">
        <v>59</v>
      </c>
      <c r="E10" s="2" t="s">
        <v>60</v>
      </c>
      <c r="F10" s="2" t="s">
        <v>51</v>
      </c>
      <c r="G10" s="2" t="s">
        <v>18</v>
      </c>
      <c r="H10" s="2" t="s">
        <v>19</v>
      </c>
      <c r="I10" s="2"/>
      <c r="J10" s="2" t="s">
        <v>422</v>
      </c>
      <c r="K10" s="2" t="s">
        <v>61</v>
      </c>
      <c r="L10" s="2" t="s">
        <v>62</v>
      </c>
    </row>
    <row r="11" spans="1:12" ht="52.8" x14ac:dyDescent="0.3">
      <c r="A11" s="2" t="s">
        <v>63</v>
      </c>
      <c r="B11" s="2" t="s">
        <v>58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18</v>
      </c>
      <c r="H11" s="2" t="s">
        <v>19</v>
      </c>
      <c r="I11" s="2"/>
      <c r="J11" s="2" t="s">
        <v>422</v>
      </c>
      <c r="K11" s="2" t="s">
        <v>20</v>
      </c>
      <c r="L11" s="2" t="s">
        <v>68</v>
      </c>
    </row>
    <row r="12" spans="1:12" ht="52.8" x14ac:dyDescent="0.3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18</v>
      </c>
      <c r="H12" s="2" t="s">
        <v>19</v>
      </c>
      <c r="I12" s="2"/>
      <c r="J12" s="2" t="s">
        <v>422</v>
      </c>
      <c r="K12" s="2" t="s">
        <v>31</v>
      </c>
      <c r="L12" s="2" t="s">
        <v>75</v>
      </c>
    </row>
    <row r="13" spans="1:12" ht="52.8" x14ac:dyDescent="0.3">
      <c r="A13" s="2" t="s">
        <v>76</v>
      </c>
      <c r="B13" s="2" t="s">
        <v>70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18</v>
      </c>
      <c r="H13" s="2" t="s">
        <v>19</v>
      </c>
      <c r="I13" s="2"/>
      <c r="J13" s="2" t="s">
        <v>422</v>
      </c>
      <c r="K13" s="2" t="s">
        <v>36</v>
      </c>
      <c r="L13" s="2" t="s">
        <v>81</v>
      </c>
    </row>
    <row r="14" spans="1:12" ht="52.8" x14ac:dyDescent="0.3">
      <c r="A14" s="2" t="s">
        <v>82</v>
      </c>
      <c r="B14" s="2" t="s">
        <v>70</v>
      </c>
      <c r="C14" s="2" t="s">
        <v>77</v>
      </c>
      <c r="D14" s="2" t="s">
        <v>78</v>
      </c>
      <c r="E14" s="2" t="s">
        <v>83</v>
      </c>
      <c r="F14" s="2" t="s">
        <v>80</v>
      </c>
      <c r="G14" s="2" t="s">
        <v>18</v>
      </c>
      <c r="H14" s="2" t="s">
        <v>19</v>
      </c>
      <c r="I14" s="2"/>
      <c r="J14" s="2" t="s">
        <v>422</v>
      </c>
      <c r="K14" s="2" t="s">
        <v>36</v>
      </c>
      <c r="L14" s="2" t="s">
        <v>84</v>
      </c>
    </row>
    <row r="15" spans="1:12" ht="52.8" x14ac:dyDescent="0.3">
      <c r="A15" s="2" t="s">
        <v>85</v>
      </c>
      <c r="B15" s="2" t="s">
        <v>70</v>
      </c>
      <c r="C15" s="2" t="s">
        <v>23</v>
      </c>
      <c r="D15" s="2" t="s">
        <v>86</v>
      </c>
      <c r="E15" s="2" t="s">
        <v>87</v>
      </c>
      <c r="F15" s="2" t="s">
        <v>51</v>
      </c>
      <c r="G15" s="2" t="s">
        <v>18</v>
      </c>
      <c r="H15" s="2" t="s">
        <v>19</v>
      </c>
      <c r="I15" s="2"/>
      <c r="J15" s="2" t="s">
        <v>422</v>
      </c>
      <c r="K15" s="2" t="s">
        <v>61</v>
      </c>
      <c r="L15" s="2" t="s">
        <v>88</v>
      </c>
    </row>
    <row r="16" spans="1:12" ht="52.8" x14ac:dyDescent="0.3">
      <c r="A16" s="2" t="s">
        <v>89</v>
      </c>
      <c r="B16" s="2" t="s">
        <v>90</v>
      </c>
      <c r="C16" s="2" t="s">
        <v>77</v>
      </c>
      <c r="D16" s="2" t="s">
        <v>91</v>
      </c>
      <c r="E16" s="2" t="s">
        <v>92</v>
      </c>
      <c r="F16" s="2" t="s">
        <v>93</v>
      </c>
      <c r="G16" s="2" t="s">
        <v>18</v>
      </c>
      <c r="H16" s="2" t="s">
        <v>19</v>
      </c>
      <c r="I16" s="2"/>
      <c r="J16" s="2" t="s">
        <v>422</v>
      </c>
      <c r="K16" s="2" t="s">
        <v>20</v>
      </c>
      <c r="L16" s="2" t="s">
        <v>94</v>
      </c>
    </row>
    <row r="17" spans="1:12" ht="52.8" x14ac:dyDescent="0.3">
      <c r="A17" s="2" t="s">
        <v>95</v>
      </c>
      <c r="B17" s="2" t="s">
        <v>90</v>
      </c>
      <c r="C17" s="2" t="s">
        <v>77</v>
      </c>
      <c r="D17" s="2" t="s">
        <v>91</v>
      </c>
      <c r="E17" s="2" t="s">
        <v>79</v>
      </c>
      <c r="F17" s="2" t="s">
        <v>96</v>
      </c>
      <c r="G17" s="2" t="s">
        <v>18</v>
      </c>
      <c r="H17" s="2" t="s">
        <v>19</v>
      </c>
      <c r="I17" s="2"/>
      <c r="J17" s="2" t="s">
        <v>422</v>
      </c>
      <c r="K17" s="2" t="s">
        <v>36</v>
      </c>
      <c r="L17" s="2" t="s">
        <v>97</v>
      </c>
    </row>
    <row r="18" spans="1:12" ht="52.8" x14ac:dyDescent="0.3">
      <c r="A18" s="2" t="s">
        <v>98</v>
      </c>
      <c r="B18" s="2" t="s">
        <v>90</v>
      </c>
      <c r="C18" s="2" t="s">
        <v>77</v>
      </c>
      <c r="D18" s="2" t="s">
        <v>91</v>
      </c>
      <c r="E18" s="2" t="s">
        <v>99</v>
      </c>
      <c r="F18" s="2" t="s">
        <v>80</v>
      </c>
      <c r="G18" s="2" t="s">
        <v>18</v>
      </c>
      <c r="H18" s="2" t="s">
        <v>19</v>
      </c>
      <c r="I18" s="2"/>
      <c r="J18" s="2" t="s">
        <v>422</v>
      </c>
      <c r="K18" s="2" t="s">
        <v>26</v>
      </c>
      <c r="L18" s="2" t="s">
        <v>100</v>
      </c>
    </row>
    <row r="19" spans="1:12" ht="52.8" x14ac:dyDescent="0.3">
      <c r="A19" s="2" t="s">
        <v>101</v>
      </c>
      <c r="B19" s="2" t="s">
        <v>90</v>
      </c>
      <c r="C19" s="2" t="s">
        <v>77</v>
      </c>
      <c r="D19" s="2" t="s">
        <v>91</v>
      </c>
      <c r="E19" s="2" t="s">
        <v>102</v>
      </c>
      <c r="F19" s="2" t="s">
        <v>103</v>
      </c>
      <c r="G19" s="2" t="s">
        <v>18</v>
      </c>
      <c r="H19" s="2" t="s">
        <v>19</v>
      </c>
      <c r="I19" s="2"/>
      <c r="J19" s="2" t="s">
        <v>422</v>
      </c>
      <c r="K19" s="2" t="s">
        <v>26</v>
      </c>
      <c r="L19" s="2" t="s">
        <v>104</v>
      </c>
    </row>
    <row r="20" spans="1:12" ht="52.8" x14ac:dyDescent="0.3">
      <c r="A20" s="2" t="s">
        <v>105</v>
      </c>
      <c r="B20" s="2" t="s">
        <v>90</v>
      </c>
      <c r="C20" s="2" t="s">
        <v>23</v>
      </c>
      <c r="D20" s="2" t="s">
        <v>106</v>
      </c>
      <c r="E20" s="2" t="s">
        <v>107</v>
      </c>
      <c r="F20" s="2" t="s">
        <v>51</v>
      </c>
      <c r="G20" s="2" t="s">
        <v>18</v>
      </c>
      <c r="H20" s="2" t="s">
        <v>19</v>
      </c>
      <c r="I20" s="2"/>
      <c r="J20" s="2" t="s">
        <v>422</v>
      </c>
      <c r="K20" s="2" t="s">
        <v>61</v>
      </c>
      <c r="L20" s="2" t="s">
        <v>108</v>
      </c>
    </row>
    <row r="21" spans="1:12" ht="52.8" x14ac:dyDescent="0.3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114</v>
      </c>
      <c r="G21" s="2" t="s">
        <v>18</v>
      </c>
      <c r="H21" s="2" t="s">
        <v>19</v>
      </c>
      <c r="I21" s="2"/>
      <c r="J21" s="2" t="s">
        <v>422</v>
      </c>
      <c r="K21" s="2" t="s">
        <v>61</v>
      </c>
      <c r="L21" s="2" t="s">
        <v>115</v>
      </c>
    </row>
    <row r="22" spans="1:12" ht="52.8" x14ac:dyDescent="0.3">
      <c r="A22" s="2" t="s">
        <v>116</v>
      </c>
      <c r="B22" s="2" t="s">
        <v>110</v>
      </c>
      <c r="C22" s="2" t="s">
        <v>117</v>
      </c>
      <c r="D22" s="2" t="s">
        <v>118</v>
      </c>
      <c r="E22" s="2" t="s">
        <v>119</v>
      </c>
      <c r="F22" s="2" t="s">
        <v>120</v>
      </c>
      <c r="G22" s="2" t="s">
        <v>18</v>
      </c>
      <c r="H22" s="2" t="s">
        <v>19</v>
      </c>
      <c r="I22" s="2"/>
      <c r="J22" s="2" t="s">
        <v>422</v>
      </c>
      <c r="K22" s="2" t="s">
        <v>20</v>
      </c>
      <c r="L22" s="2" t="s">
        <v>121</v>
      </c>
    </row>
    <row r="23" spans="1:12" ht="52.8" x14ac:dyDescent="0.3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  <c r="G23" s="2" t="s">
        <v>18</v>
      </c>
      <c r="H23" s="2" t="s">
        <v>19</v>
      </c>
      <c r="I23" s="2"/>
      <c r="J23" s="2" t="s">
        <v>422</v>
      </c>
      <c r="K23" s="2" t="s">
        <v>20</v>
      </c>
      <c r="L23" s="2" t="s">
        <v>128</v>
      </c>
    </row>
    <row r="24" spans="1:12" ht="52.8" x14ac:dyDescent="0.3">
      <c r="A24" s="2" t="s">
        <v>129</v>
      </c>
      <c r="B24" s="2" t="s">
        <v>123</v>
      </c>
      <c r="C24" s="2" t="s">
        <v>130</v>
      </c>
      <c r="D24" s="2" t="s">
        <v>125</v>
      </c>
      <c r="E24" s="2" t="s">
        <v>131</v>
      </c>
      <c r="F24" s="2" t="s">
        <v>132</v>
      </c>
      <c r="G24" s="2" t="s">
        <v>18</v>
      </c>
      <c r="H24" s="2" t="s">
        <v>19</v>
      </c>
      <c r="I24" s="2"/>
      <c r="J24" s="2" t="s">
        <v>422</v>
      </c>
      <c r="K24" s="2" t="s">
        <v>61</v>
      </c>
      <c r="L24" s="2" t="s">
        <v>133</v>
      </c>
    </row>
    <row r="25" spans="1:12" ht="52.8" x14ac:dyDescent="0.3">
      <c r="A25" s="2" t="s">
        <v>134</v>
      </c>
      <c r="B25" s="2" t="s">
        <v>123</v>
      </c>
      <c r="C25" s="2" t="s">
        <v>23</v>
      </c>
      <c r="D25" s="2" t="s">
        <v>135</v>
      </c>
      <c r="E25" s="2" t="s">
        <v>136</v>
      </c>
      <c r="F25" s="2" t="s">
        <v>137</v>
      </c>
      <c r="G25" s="2" t="s">
        <v>18</v>
      </c>
      <c r="H25" s="2" t="s">
        <v>19</v>
      </c>
      <c r="I25" s="2"/>
      <c r="J25" s="2" t="s">
        <v>422</v>
      </c>
      <c r="K25" s="2" t="s">
        <v>36</v>
      </c>
      <c r="L25" s="2" t="s">
        <v>138</v>
      </c>
    </row>
    <row r="26" spans="1:12" ht="52.8" x14ac:dyDescent="0.3">
      <c r="A26" s="2" t="s">
        <v>139</v>
      </c>
      <c r="B26" s="2" t="s">
        <v>140</v>
      </c>
      <c r="C26" s="2" t="s">
        <v>141</v>
      </c>
      <c r="D26" s="2" t="s">
        <v>142</v>
      </c>
      <c r="E26" s="2" t="s">
        <v>143</v>
      </c>
      <c r="F26" s="2" t="s">
        <v>144</v>
      </c>
      <c r="G26" s="2" t="s">
        <v>18</v>
      </c>
      <c r="H26" s="2" t="s">
        <v>19</v>
      </c>
      <c r="I26" s="2"/>
      <c r="J26" s="2" t="s">
        <v>422</v>
      </c>
      <c r="K26" s="2" t="s">
        <v>20</v>
      </c>
      <c r="L26" s="2" t="s">
        <v>145</v>
      </c>
    </row>
    <row r="27" spans="1:12" ht="52.8" x14ac:dyDescent="0.3">
      <c r="A27" s="2" t="s">
        <v>146</v>
      </c>
      <c r="B27" s="2" t="s">
        <v>140</v>
      </c>
      <c r="C27" s="2" t="s">
        <v>147</v>
      </c>
      <c r="D27" s="2" t="s">
        <v>142</v>
      </c>
      <c r="E27" s="2" t="s">
        <v>79</v>
      </c>
      <c r="F27" s="2" t="s">
        <v>148</v>
      </c>
      <c r="G27" s="2" t="s">
        <v>18</v>
      </c>
      <c r="H27" s="2" t="s">
        <v>19</v>
      </c>
      <c r="I27" s="2"/>
      <c r="J27" s="2" t="s">
        <v>422</v>
      </c>
      <c r="K27" s="2" t="s">
        <v>61</v>
      </c>
      <c r="L27" s="2" t="s">
        <v>149</v>
      </c>
    </row>
    <row r="28" spans="1:12" ht="52.8" x14ac:dyDescent="0.3">
      <c r="A28" s="2" t="s">
        <v>150</v>
      </c>
      <c r="B28" s="2" t="s">
        <v>140</v>
      </c>
      <c r="C28" s="2" t="s">
        <v>130</v>
      </c>
      <c r="D28" s="2" t="s">
        <v>142</v>
      </c>
      <c r="E28" s="2" t="s">
        <v>79</v>
      </c>
      <c r="F28" s="2" t="s">
        <v>137</v>
      </c>
      <c r="G28" s="2" t="s">
        <v>18</v>
      </c>
      <c r="H28" s="2" t="s">
        <v>19</v>
      </c>
      <c r="I28" s="2"/>
      <c r="J28" s="2" t="s">
        <v>422</v>
      </c>
      <c r="K28" s="2" t="s">
        <v>61</v>
      </c>
      <c r="L28" s="2" t="s">
        <v>151</v>
      </c>
    </row>
    <row r="29" spans="1:12" ht="52.8" x14ac:dyDescent="0.3">
      <c r="A29" s="2" t="s">
        <v>152</v>
      </c>
      <c r="B29" s="2" t="s">
        <v>140</v>
      </c>
      <c r="C29" s="2" t="s">
        <v>141</v>
      </c>
      <c r="D29" s="2" t="s">
        <v>153</v>
      </c>
      <c r="E29" s="2" t="s">
        <v>154</v>
      </c>
      <c r="F29" s="2" t="s">
        <v>155</v>
      </c>
      <c r="G29" s="2" t="s">
        <v>18</v>
      </c>
      <c r="H29" s="2" t="s">
        <v>19</v>
      </c>
      <c r="I29" s="2"/>
      <c r="J29" s="2" t="s">
        <v>422</v>
      </c>
      <c r="K29" s="2" t="s">
        <v>26</v>
      </c>
      <c r="L29" s="2" t="s">
        <v>156</v>
      </c>
    </row>
    <row r="30" spans="1:12" ht="52.8" x14ac:dyDescent="0.3">
      <c r="A30" s="2" t="s">
        <v>157</v>
      </c>
      <c r="B30" s="2" t="s">
        <v>140</v>
      </c>
      <c r="C30" s="2" t="s">
        <v>141</v>
      </c>
      <c r="D30" s="2" t="s">
        <v>142</v>
      </c>
      <c r="E30" s="2" t="s">
        <v>158</v>
      </c>
      <c r="F30" s="2" t="s">
        <v>80</v>
      </c>
      <c r="G30" s="2" t="s">
        <v>18</v>
      </c>
      <c r="H30" s="2" t="s">
        <v>19</v>
      </c>
      <c r="I30" s="2"/>
      <c r="J30" s="2" t="s">
        <v>422</v>
      </c>
      <c r="K30" s="2" t="s">
        <v>26</v>
      </c>
      <c r="L30" s="2" t="s">
        <v>159</v>
      </c>
    </row>
    <row r="31" spans="1:12" ht="52.8" x14ac:dyDescent="0.3">
      <c r="A31" s="2" t="s">
        <v>160</v>
      </c>
      <c r="B31" s="2" t="s">
        <v>140</v>
      </c>
      <c r="C31" s="2" t="s">
        <v>141</v>
      </c>
      <c r="D31" s="2" t="s">
        <v>142</v>
      </c>
      <c r="E31" s="2" t="s">
        <v>161</v>
      </c>
      <c r="F31" s="2" t="s">
        <v>162</v>
      </c>
      <c r="G31" s="2" t="s">
        <v>18</v>
      </c>
      <c r="H31" s="2" t="s">
        <v>19</v>
      </c>
      <c r="I31" s="2"/>
      <c r="J31" s="2" t="s">
        <v>422</v>
      </c>
      <c r="K31" s="2" t="s">
        <v>26</v>
      </c>
      <c r="L31" s="2" t="s">
        <v>163</v>
      </c>
    </row>
    <row r="32" spans="1:12" ht="52.8" x14ac:dyDescent="0.3">
      <c r="A32" s="2" t="s">
        <v>164</v>
      </c>
      <c r="B32" s="2" t="s">
        <v>165</v>
      </c>
      <c r="C32" s="2" t="s">
        <v>166</v>
      </c>
      <c r="D32" s="2" t="s">
        <v>167</v>
      </c>
      <c r="E32" s="2" t="s">
        <v>168</v>
      </c>
      <c r="F32" s="2" t="s">
        <v>169</v>
      </c>
      <c r="G32" s="2" t="s">
        <v>18</v>
      </c>
      <c r="H32" s="2" t="s">
        <v>19</v>
      </c>
      <c r="I32" s="2"/>
      <c r="J32" s="2" t="s">
        <v>422</v>
      </c>
      <c r="K32" s="2" t="s">
        <v>20</v>
      </c>
      <c r="L32" s="2" t="s">
        <v>170</v>
      </c>
    </row>
    <row r="33" spans="1:12" ht="52.8" x14ac:dyDescent="0.3">
      <c r="A33" s="2" t="s">
        <v>171</v>
      </c>
      <c r="B33" s="2" t="s">
        <v>165</v>
      </c>
      <c r="C33" s="2" t="s">
        <v>172</v>
      </c>
      <c r="D33" s="2" t="s">
        <v>173</v>
      </c>
      <c r="E33" s="2" t="s">
        <v>174</v>
      </c>
      <c r="F33" s="2" t="s">
        <v>175</v>
      </c>
      <c r="G33" s="2" t="s">
        <v>18</v>
      </c>
      <c r="H33" s="2" t="s">
        <v>19</v>
      </c>
      <c r="I33" s="2"/>
      <c r="J33" s="2" t="s">
        <v>422</v>
      </c>
      <c r="K33" s="2" t="s">
        <v>31</v>
      </c>
      <c r="L33" s="2" t="s">
        <v>176</v>
      </c>
    </row>
    <row r="34" spans="1:12" ht="52.8" x14ac:dyDescent="0.3">
      <c r="A34" s="2" t="s">
        <v>177</v>
      </c>
      <c r="B34" s="2" t="s">
        <v>165</v>
      </c>
      <c r="C34" s="2" t="s">
        <v>178</v>
      </c>
      <c r="D34" s="2" t="s">
        <v>167</v>
      </c>
      <c r="E34" s="2" t="s">
        <v>179</v>
      </c>
      <c r="F34" s="2" t="s">
        <v>180</v>
      </c>
      <c r="G34" s="2" t="s">
        <v>18</v>
      </c>
      <c r="H34" s="2" t="s">
        <v>19</v>
      </c>
      <c r="I34" s="2"/>
      <c r="J34" s="2" t="s">
        <v>422</v>
      </c>
      <c r="K34" s="2" t="s">
        <v>26</v>
      </c>
      <c r="L34" s="2" t="s">
        <v>181</v>
      </c>
    </row>
    <row r="35" spans="1:12" ht="52.8" x14ac:dyDescent="0.3">
      <c r="A35" s="2" t="s">
        <v>182</v>
      </c>
      <c r="B35" s="2" t="s">
        <v>165</v>
      </c>
      <c r="C35" s="2" t="s">
        <v>183</v>
      </c>
      <c r="D35" s="2" t="s">
        <v>184</v>
      </c>
      <c r="E35" s="2" t="s">
        <v>185</v>
      </c>
      <c r="F35" s="2" t="s">
        <v>180</v>
      </c>
      <c r="G35" s="2" t="s">
        <v>18</v>
      </c>
      <c r="H35" s="2" t="s">
        <v>19</v>
      </c>
      <c r="I35" s="2"/>
      <c r="J35" s="2" t="s">
        <v>422</v>
      </c>
      <c r="K35" s="2" t="s">
        <v>26</v>
      </c>
      <c r="L35" s="2" t="s">
        <v>186</v>
      </c>
    </row>
    <row r="36" spans="1:12" ht="52.8" x14ac:dyDescent="0.3">
      <c r="A36" s="2" t="s">
        <v>187</v>
      </c>
      <c r="B36" s="2" t="s">
        <v>165</v>
      </c>
      <c r="C36" s="2" t="s">
        <v>23</v>
      </c>
      <c r="D36" s="2" t="s">
        <v>188</v>
      </c>
      <c r="E36" s="2" t="s">
        <v>189</v>
      </c>
      <c r="F36" s="2" t="s">
        <v>137</v>
      </c>
      <c r="G36" s="2" t="s">
        <v>18</v>
      </c>
      <c r="H36" s="2" t="s">
        <v>19</v>
      </c>
      <c r="I36" s="2"/>
      <c r="J36" s="2" t="s">
        <v>422</v>
      </c>
      <c r="K36" s="2" t="s">
        <v>36</v>
      </c>
      <c r="L36" s="2" t="s">
        <v>190</v>
      </c>
    </row>
    <row r="37" spans="1:12" ht="52.8" x14ac:dyDescent="0.3">
      <c r="A37" s="2" t="s">
        <v>191</v>
      </c>
      <c r="B37" s="2" t="s">
        <v>165</v>
      </c>
      <c r="C37" s="2" t="s">
        <v>23</v>
      </c>
      <c r="D37" s="2" t="s">
        <v>192</v>
      </c>
      <c r="E37" s="2" t="s">
        <v>193</v>
      </c>
      <c r="F37" s="2" t="s">
        <v>51</v>
      </c>
      <c r="G37" s="2" t="s">
        <v>18</v>
      </c>
      <c r="H37" s="2" t="s">
        <v>19</v>
      </c>
      <c r="I37" s="2"/>
      <c r="J37" s="2" t="s">
        <v>422</v>
      </c>
      <c r="K37" s="2" t="s">
        <v>61</v>
      </c>
      <c r="L37" s="2" t="s">
        <v>194</v>
      </c>
    </row>
    <row r="38" spans="1:12" ht="52.8" x14ac:dyDescent="0.3">
      <c r="A38" s="2" t="s">
        <v>195</v>
      </c>
      <c r="B38" s="2" t="s">
        <v>196</v>
      </c>
      <c r="C38" s="2" t="s">
        <v>197</v>
      </c>
      <c r="D38" s="2" t="s">
        <v>198</v>
      </c>
      <c r="E38" s="2" t="s">
        <v>199</v>
      </c>
      <c r="F38" s="2" t="s">
        <v>137</v>
      </c>
      <c r="G38" s="2" t="s">
        <v>18</v>
      </c>
      <c r="H38" s="2" t="s">
        <v>19</v>
      </c>
      <c r="I38" s="2"/>
      <c r="J38" s="2" t="s">
        <v>422</v>
      </c>
      <c r="K38" s="2" t="s">
        <v>61</v>
      </c>
      <c r="L38" s="2" t="s">
        <v>200</v>
      </c>
    </row>
    <row r="39" spans="1:12" ht="52.8" x14ac:dyDescent="0.3">
      <c r="A39" s="2" t="s">
        <v>201</v>
      </c>
      <c r="B39" s="2" t="s">
        <v>196</v>
      </c>
      <c r="C39" s="2" t="s">
        <v>23</v>
      </c>
      <c r="D39" s="2" t="s">
        <v>202</v>
      </c>
      <c r="E39" s="2" t="s">
        <v>199</v>
      </c>
      <c r="F39" s="2" t="s">
        <v>51</v>
      </c>
      <c r="G39" s="2" t="s">
        <v>18</v>
      </c>
      <c r="H39" s="2" t="s">
        <v>19</v>
      </c>
      <c r="I39" s="2"/>
      <c r="J39" s="2" t="s">
        <v>422</v>
      </c>
      <c r="K39" s="2" t="s">
        <v>61</v>
      </c>
      <c r="L39" s="2" t="s">
        <v>203</v>
      </c>
    </row>
    <row r="40" spans="1:12" ht="52.8" x14ac:dyDescent="0.3">
      <c r="A40" s="2" t="s">
        <v>204</v>
      </c>
      <c r="B40" s="2" t="s">
        <v>196</v>
      </c>
      <c r="C40" s="2" t="s">
        <v>205</v>
      </c>
      <c r="D40" s="2" t="s">
        <v>198</v>
      </c>
      <c r="E40" s="2" t="s">
        <v>206</v>
      </c>
      <c r="F40" s="2" t="s">
        <v>207</v>
      </c>
      <c r="G40" s="2" t="s">
        <v>18</v>
      </c>
      <c r="H40" s="2" t="s">
        <v>19</v>
      </c>
      <c r="I40" s="2"/>
      <c r="J40" s="2" t="s">
        <v>422</v>
      </c>
      <c r="K40" s="2" t="s">
        <v>20</v>
      </c>
      <c r="L40" s="2" t="s">
        <v>208</v>
      </c>
    </row>
    <row r="41" spans="1:12" ht="52.8" x14ac:dyDescent="0.3">
      <c r="A41" s="2" t="s">
        <v>209</v>
      </c>
      <c r="B41" s="2" t="s">
        <v>196</v>
      </c>
      <c r="C41" s="2" t="s">
        <v>205</v>
      </c>
      <c r="D41" s="2" t="s">
        <v>198</v>
      </c>
      <c r="E41" s="2" t="s">
        <v>210</v>
      </c>
      <c r="F41" s="2" t="s">
        <v>211</v>
      </c>
      <c r="G41" s="2" t="s">
        <v>18</v>
      </c>
      <c r="H41" s="2" t="s">
        <v>19</v>
      </c>
      <c r="I41" s="2"/>
      <c r="J41" s="2" t="s">
        <v>422</v>
      </c>
      <c r="K41" s="2" t="s">
        <v>20</v>
      </c>
      <c r="L41" s="2" t="s">
        <v>212</v>
      </c>
    </row>
    <row r="42" spans="1:12" ht="52.8" x14ac:dyDescent="0.3">
      <c r="A42" s="2" t="s">
        <v>213</v>
      </c>
      <c r="B42" s="2" t="s">
        <v>196</v>
      </c>
      <c r="C42" s="2" t="s">
        <v>205</v>
      </c>
      <c r="D42" s="2" t="s">
        <v>198</v>
      </c>
      <c r="E42" s="2" t="s">
        <v>214</v>
      </c>
      <c r="F42" s="2" t="s">
        <v>215</v>
      </c>
      <c r="G42" s="2" t="s">
        <v>18</v>
      </c>
      <c r="H42" s="2" t="s">
        <v>19</v>
      </c>
      <c r="I42" s="2"/>
      <c r="J42" s="2" t="s">
        <v>422</v>
      </c>
      <c r="K42" s="2" t="s">
        <v>36</v>
      </c>
      <c r="L42" s="2" t="s">
        <v>216</v>
      </c>
    </row>
    <row r="43" spans="1:12" ht="52.8" x14ac:dyDescent="0.3">
      <c r="A43" s="2" t="s">
        <v>217</v>
      </c>
      <c r="B43" s="2" t="s">
        <v>196</v>
      </c>
      <c r="C43" s="2" t="s">
        <v>205</v>
      </c>
      <c r="D43" s="2" t="s">
        <v>198</v>
      </c>
      <c r="E43" s="2" t="s">
        <v>218</v>
      </c>
      <c r="F43" s="2" t="s">
        <v>219</v>
      </c>
      <c r="G43" s="2" t="s">
        <v>18</v>
      </c>
      <c r="H43" s="2" t="s">
        <v>19</v>
      </c>
      <c r="I43" s="2"/>
      <c r="J43" s="2" t="s">
        <v>422</v>
      </c>
      <c r="K43" s="2" t="s">
        <v>36</v>
      </c>
      <c r="L43" s="2" t="s">
        <v>220</v>
      </c>
    </row>
    <row r="44" spans="1:12" ht="52.8" x14ac:dyDescent="0.3">
      <c r="A44" s="2" t="s">
        <v>221</v>
      </c>
      <c r="B44" s="2" t="s">
        <v>196</v>
      </c>
      <c r="C44" s="2" t="s">
        <v>205</v>
      </c>
      <c r="D44" s="2" t="s">
        <v>198</v>
      </c>
      <c r="E44" s="2" t="s">
        <v>222</v>
      </c>
      <c r="F44" s="2" t="s">
        <v>223</v>
      </c>
      <c r="G44" s="2" t="s">
        <v>18</v>
      </c>
      <c r="H44" s="2" t="s">
        <v>19</v>
      </c>
      <c r="I44" s="2"/>
      <c r="J44" s="2" t="s">
        <v>422</v>
      </c>
      <c r="K44" s="2" t="s">
        <v>26</v>
      </c>
      <c r="L44" s="2" t="s">
        <v>224</v>
      </c>
    </row>
    <row r="45" spans="1:12" ht="52.8" x14ac:dyDescent="0.3">
      <c r="A45" s="2" t="s">
        <v>225</v>
      </c>
      <c r="B45" s="2" t="s">
        <v>196</v>
      </c>
      <c r="C45" s="2" t="s">
        <v>205</v>
      </c>
      <c r="D45" s="2" t="s">
        <v>198</v>
      </c>
      <c r="E45" s="2" t="s">
        <v>226</v>
      </c>
      <c r="F45" s="2" t="s">
        <v>80</v>
      </c>
      <c r="G45" s="2" t="s">
        <v>18</v>
      </c>
      <c r="H45" s="2" t="s">
        <v>19</v>
      </c>
      <c r="I45" s="2"/>
      <c r="J45" s="2" t="s">
        <v>422</v>
      </c>
      <c r="K45" s="2" t="s">
        <v>26</v>
      </c>
      <c r="L45" s="2" t="s">
        <v>227</v>
      </c>
    </row>
    <row r="46" spans="1:12" ht="52.8" x14ac:dyDescent="0.3">
      <c r="A46" s="2" t="s">
        <v>228</v>
      </c>
      <c r="B46" s="2" t="s">
        <v>196</v>
      </c>
      <c r="C46" s="2" t="s">
        <v>205</v>
      </c>
      <c r="D46" s="2" t="s">
        <v>198</v>
      </c>
      <c r="E46" s="2" t="s">
        <v>229</v>
      </c>
      <c r="F46" s="2" t="s">
        <v>230</v>
      </c>
      <c r="G46" s="2" t="s">
        <v>18</v>
      </c>
      <c r="H46" s="2" t="s">
        <v>19</v>
      </c>
      <c r="I46" s="2"/>
      <c r="J46" s="2" t="s">
        <v>422</v>
      </c>
      <c r="K46" s="2" t="s">
        <v>36</v>
      </c>
      <c r="L46" s="2" t="s">
        <v>231</v>
      </c>
    </row>
    <row r="47" spans="1:12" ht="52.8" x14ac:dyDescent="0.3">
      <c r="A47" s="2" t="s">
        <v>232</v>
      </c>
      <c r="B47" s="2" t="s">
        <v>196</v>
      </c>
      <c r="C47" s="2" t="s">
        <v>205</v>
      </c>
      <c r="D47" s="2" t="s">
        <v>198</v>
      </c>
      <c r="E47" s="2" t="s">
        <v>233</v>
      </c>
      <c r="F47" s="2" t="s">
        <v>80</v>
      </c>
      <c r="G47" s="2" t="s">
        <v>18</v>
      </c>
      <c r="H47" s="2" t="s">
        <v>19</v>
      </c>
      <c r="I47" s="2"/>
      <c r="J47" s="2" t="s">
        <v>422</v>
      </c>
      <c r="K47" s="2" t="s">
        <v>36</v>
      </c>
      <c r="L47" s="2" t="s">
        <v>234</v>
      </c>
    </row>
    <row r="48" spans="1:12" ht="52.8" x14ac:dyDescent="0.3">
      <c r="A48" s="2" t="s">
        <v>235</v>
      </c>
      <c r="B48" s="2" t="s">
        <v>196</v>
      </c>
      <c r="C48" s="2" t="s">
        <v>236</v>
      </c>
      <c r="D48" s="2" t="s">
        <v>237</v>
      </c>
      <c r="E48" s="2" t="s">
        <v>199</v>
      </c>
      <c r="F48" s="2" t="s">
        <v>238</v>
      </c>
      <c r="G48" s="2" t="s">
        <v>18</v>
      </c>
      <c r="H48" s="2" t="s">
        <v>19</v>
      </c>
      <c r="I48" s="2"/>
      <c r="J48" s="2" t="s">
        <v>422</v>
      </c>
      <c r="K48" s="2" t="s">
        <v>20</v>
      </c>
      <c r="L48" s="2" t="s">
        <v>239</v>
      </c>
    </row>
    <row r="49" spans="1:12" ht="52.8" x14ac:dyDescent="0.3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244</v>
      </c>
      <c r="F49" s="2" t="s">
        <v>245</v>
      </c>
      <c r="G49" s="2" t="s">
        <v>18</v>
      </c>
      <c r="H49" s="2" t="s">
        <v>19</v>
      </c>
      <c r="I49" s="2"/>
      <c r="J49" s="2" t="s">
        <v>422</v>
      </c>
      <c r="K49" s="2" t="s">
        <v>20</v>
      </c>
      <c r="L49" s="2" t="s">
        <v>246</v>
      </c>
    </row>
    <row r="50" spans="1:12" ht="52.8" x14ac:dyDescent="0.3">
      <c r="A50" s="2" t="s">
        <v>247</v>
      </c>
      <c r="B50" s="2" t="s">
        <v>241</v>
      </c>
      <c r="C50" s="2" t="s">
        <v>248</v>
      </c>
      <c r="D50" s="2" t="s">
        <v>243</v>
      </c>
      <c r="E50" s="2" t="s">
        <v>249</v>
      </c>
      <c r="F50" s="2" t="s">
        <v>148</v>
      </c>
      <c r="G50" s="2" t="s">
        <v>18</v>
      </c>
      <c r="H50" s="2" t="s">
        <v>19</v>
      </c>
      <c r="I50" s="2"/>
      <c r="J50" s="2" t="s">
        <v>422</v>
      </c>
      <c r="K50" s="2" t="s">
        <v>61</v>
      </c>
      <c r="L50" s="2" t="s">
        <v>250</v>
      </c>
    </row>
    <row r="51" spans="1:12" ht="52.8" x14ac:dyDescent="0.3">
      <c r="A51" s="2" t="s">
        <v>251</v>
      </c>
      <c r="B51" s="2" t="s">
        <v>241</v>
      </c>
      <c r="C51" s="2" t="s">
        <v>197</v>
      </c>
      <c r="D51" s="2" t="s">
        <v>243</v>
      </c>
      <c r="E51" s="2" t="s">
        <v>244</v>
      </c>
      <c r="F51" s="2" t="s">
        <v>137</v>
      </c>
      <c r="G51" s="2" t="s">
        <v>18</v>
      </c>
      <c r="H51" s="2" t="s">
        <v>19</v>
      </c>
      <c r="I51" s="2"/>
      <c r="J51" s="2" t="s">
        <v>422</v>
      </c>
      <c r="K51" s="2" t="s">
        <v>61</v>
      </c>
      <c r="L51" s="2" t="s">
        <v>252</v>
      </c>
    </row>
    <row r="52" spans="1:12" ht="79.2" x14ac:dyDescent="0.3">
      <c r="A52" s="2" t="s">
        <v>253</v>
      </c>
      <c r="B52" s="2" t="s">
        <v>241</v>
      </c>
      <c r="C52" s="2" t="s">
        <v>254</v>
      </c>
      <c r="D52" s="2" t="s">
        <v>255</v>
      </c>
      <c r="E52" s="2" t="s">
        <v>256</v>
      </c>
      <c r="F52" s="2" t="s">
        <v>257</v>
      </c>
      <c r="G52" s="2" t="s">
        <v>258</v>
      </c>
      <c r="H52" s="2" t="s">
        <v>259</v>
      </c>
      <c r="I52" s="2"/>
      <c r="J52" s="2" t="s">
        <v>422</v>
      </c>
      <c r="K52" s="2" t="s">
        <v>260</v>
      </c>
      <c r="L52" s="2" t="s">
        <v>261</v>
      </c>
    </row>
    <row r="53" spans="1:12" ht="52.8" x14ac:dyDescent="0.3">
      <c r="A53" s="2" t="s">
        <v>262</v>
      </c>
      <c r="B53" s="2" t="s">
        <v>263</v>
      </c>
      <c r="C53" s="2" t="s">
        <v>264</v>
      </c>
      <c r="D53" s="2" t="s">
        <v>265</v>
      </c>
      <c r="E53" s="2" t="s">
        <v>266</v>
      </c>
      <c r="F53" s="2" t="s">
        <v>267</v>
      </c>
      <c r="G53" s="2" t="s">
        <v>18</v>
      </c>
      <c r="H53" s="2" t="s">
        <v>19</v>
      </c>
      <c r="I53" s="2"/>
      <c r="J53" s="2" t="s">
        <v>422</v>
      </c>
      <c r="K53" s="2" t="s">
        <v>20</v>
      </c>
      <c r="L53" s="2" t="s">
        <v>268</v>
      </c>
    </row>
    <row r="54" spans="1:12" ht="52.8" x14ac:dyDescent="0.3">
      <c r="A54" s="2" t="s">
        <v>269</v>
      </c>
      <c r="B54" s="2" t="s">
        <v>270</v>
      </c>
      <c r="C54" s="2" t="s">
        <v>271</v>
      </c>
      <c r="D54" s="2" t="s">
        <v>265</v>
      </c>
      <c r="E54" s="2" t="s">
        <v>272</v>
      </c>
      <c r="F54" s="2" t="s">
        <v>273</v>
      </c>
      <c r="G54" s="2" t="s">
        <v>18</v>
      </c>
      <c r="H54" s="2" t="s">
        <v>19</v>
      </c>
      <c r="I54" s="2"/>
      <c r="J54" s="2" t="s">
        <v>422</v>
      </c>
      <c r="K54" s="2" t="s">
        <v>36</v>
      </c>
      <c r="L54" s="2" t="s">
        <v>274</v>
      </c>
    </row>
    <row r="55" spans="1:12" ht="52.8" x14ac:dyDescent="0.3">
      <c r="A55" s="2" t="s">
        <v>275</v>
      </c>
      <c r="B55" s="2" t="s">
        <v>276</v>
      </c>
      <c r="C55" s="2" t="s">
        <v>277</v>
      </c>
      <c r="D55" s="2" t="s">
        <v>265</v>
      </c>
      <c r="E55" s="2" t="s">
        <v>278</v>
      </c>
      <c r="F55" s="2" t="s">
        <v>279</v>
      </c>
      <c r="G55" s="2" t="s">
        <v>18</v>
      </c>
      <c r="H55" s="2" t="s">
        <v>19</v>
      </c>
      <c r="I55" s="2"/>
      <c r="J55" s="2" t="s">
        <v>422</v>
      </c>
      <c r="K55" s="2" t="s">
        <v>36</v>
      </c>
      <c r="L55" s="2" t="s">
        <v>280</v>
      </c>
    </row>
    <row r="56" spans="1:12" ht="52.8" x14ac:dyDescent="0.3">
      <c r="A56" s="2" t="s">
        <v>281</v>
      </c>
      <c r="B56" s="2" t="s">
        <v>282</v>
      </c>
      <c r="C56" s="2" t="s">
        <v>283</v>
      </c>
      <c r="D56" s="2" t="s">
        <v>284</v>
      </c>
      <c r="E56" s="2" t="s">
        <v>285</v>
      </c>
      <c r="F56" s="2" t="s">
        <v>286</v>
      </c>
      <c r="G56" s="2" t="s">
        <v>18</v>
      </c>
      <c r="H56" s="2" t="s">
        <v>19</v>
      </c>
      <c r="I56" s="2"/>
      <c r="J56" s="2" t="s">
        <v>422</v>
      </c>
      <c r="K56" s="2" t="s">
        <v>61</v>
      </c>
      <c r="L56" s="2" t="s">
        <v>287</v>
      </c>
    </row>
    <row r="57" spans="1:12" ht="52.8" x14ac:dyDescent="0.3">
      <c r="A57" s="2" t="s">
        <v>288</v>
      </c>
      <c r="B57" s="2" t="s">
        <v>289</v>
      </c>
      <c r="C57" s="2" t="s">
        <v>290</v>
      </c>
      <c r="D57" s="2" t="s">
        <v>265</v>
      </c>
      <c r="E57" s="2" t="s">
        <v>291</v>
      </c>
      <c r="F57" s="2" t="s">
        <v>292</v>
      </c>
      <c r="G57" s="2" t="s">
        <v>18</v>
      </c>
      <c r="H57" s="2" t="s">
        <v>19</v>
      </c>
      <c r="I57" s="2"/>
      <c r="J57" s="2" t="s">
        <v>422</v>
      </c>
      <c r="K57" s="2" t="s">
        <v>20</v>
      </c>
      <c r="L57" s="2" t="s">
        <v>293</v>
      </c>
    </row>
    <row r="58" spans="1:12" ht="52.8" x14ac:dyDescent="0.3">
      <c r="A58" s="2" t="s">
        <v>294</v>
      </c>
      <c r="B58" s="2" t="s">
        <v>289</v>
      </c>
      <c r="C58" s="2" t="s">
        <v>295</v>
      </c>
      <c r="D58" s="2" t="s">
        <v>284</v>
      </c>
      <c r="E58" s="2" t="s">
        <v>296</v>
      </c>
      <c r="F58" s="2" t="s">
        <v>80</v>
      </c>
      <c r="G58" s="2" t="s">
        <v>18</v>
      </c>
      <c r="H58" s="2" t="s">
        <v>19</v>
      </c>
      <c r="I58" s="2"/>
      <c r="J58" s="2" t="s">
        <v>422</v>
      </c>
      <c r="K58" s="2" t="s">
        <v>61</v>
      </c>
      <c r="L58" s="2" t="s">
        <v>297</v>
      </c>
    </row>
    <row r="59" spans="1:12" ht="52.8" x14ac:dyDescent="0.3">
      <c r="A59" s="2" t="s">
        <v>298</v>
      </c>
      <c r="B59" s="2" t="s">
        <v>299</v>
      </c>
      <c r="C59" s="2" t="s">
        <v>77</v>
      </c>
      <c r="D59" s="2" t="s">
        <v>265</v>
      </c>
      <c r="E59" s="2" t="s">
        <v>300</v>
      </c>
      <c r="F59" s="2" t="s">
        <v>301</v>
      </c>
      <c r="G59" s="2" t="s">
        <v>18</v>
      </c>
      <c r="H59" s="2" t="s">
        <v>19</v>
      </c>
      <c r="I59" s="2"/>
      <c r="J59" s="2" t="s">
        <v>422</v>
      </c>
      <c r="K59" s="2" t="s">
        <v>36</v>
      </c>
      <c r="L59" s="2" t="s">
        <v>302</v>
      </c>
    </row>
    <row r="60" spans="1:12" ht="52.8" x14ac:dyDescent="0.3">
      <c r="A60" s="2" t="s">
        <v>303</v>
      </c>
      <c r="B60" s="2" t="s">
        <v>304</v>
      </c>
      <c r="C60" s="2" t="s">
        <v>305</v>
      </c>
      <c r="D60" s="2" t="s">
        <v>306</v>
      </c>
      <c r="E60" s="2" t="s">
        <v>113</v>
      </c>
      <c r="F60" s="2" t="s">
        <v>307</v>
      </c>
      <c r="G60" s="2" t="s">
        <v>18</v>
      </c>
      <c r="H60" s="2" t="s">
        <v>19</v>
      </c>
      <c r="I60" s="2"/>
      <c r="J60" s="2" t="s">
        <v>422</v>
      </c>
      <c r="K60" s="2" t="s">
        <v>61</v>
      </c>
      <c r="L60" s="2" t="s">
        <v>308</v>
      </c>
    </row>
    <row r="61" spans="1:12" ht="52.8" x14ac:dyDescent="0.3">
      <c r="A61" s="2" t="s">
        <v>309</v>
      </c>
      <c r="B61" s="2" t="s">
        <v>304</v>
      </c>
      <c r="C61" s="2" t="s">
        <v>310</v>
      </c>
      <c r="D61" s="2" t="s">
        <v>311</v>
      </c>
      <c r="E61" s="2" t="s">
        <v>312</v>
      </c>
      <c r="F61" s="2" t="s">
        <v>137</v>
      </c>
      <c r="G61" s="2" t="s">
        <v>18</v>
      </c>
      <c r="H61" s="2" t="s">
        <v>19</v>
      </c>
      <c r="I61" s="2"/>
      <c r="J61" s="2" t="s">
        <v>422</v>
      </c>
      <c r="K61" s="2" t="s">
        <v>61</v>
      </c>
      <c r="L61" s="2" t="s">
        <v>313</v>
      </c>
    </row>
    <row r="62" spans="1:12" ht="52.8" x14ac:dyDescent="0.3">
      <c r="A62" s="2" t="s">
        <v>314</v>
      </c>
      <c r="B62" s="2" t="s">
        <v>304</v>
      </c>
      <c r="C62" s="2" t="s">
        <v>315</v>
      </c>
      <c r="D62" s="2" t="s">
        <v>316</v>
      </c>
      <c r="E62" s="2" t="s">
        <v>317</v>
      </c>
      <c r="F62" s="2" t="s">
        <v>318</v>
      </c>
      <c r="G62" s="2" t="s">
        <v>18</v>
      </c>
      <c r="H62" s="2" t="s">
        <v>19</v>
      </c>
      <c r="I62" s="2"/>
      <c r="J62" s="2" t="s">
        <v>422</v>
      </c>
      <c r="K62" s="2" t="s">
        <v>20</v>
      </c>
      <c r="L62" s="2" t="s">
        <v>319</v>
      </c>
    </row>
    <row r="63" spans="1:12" ht="52.8" x14ac:dyDescent="0.3">
      <c r="A63" s="2" t="s">
        <v>320</v>
      </c>
      <c r="B63" s="2" t="s">
        <v>321</v>
      </c>
      <c r="C63" s="2" t="s">
        <v>322</v>
      </c>
      <c r="D63" s="2" t="s">
        <v>323</v>
      </c>
      <c r="E63" s="2" t="s">
        <v>324</v>
      </c>
      <c r="F63" s="2" t="s">
        <v>325</v>
      </c>
      <c r="G63" s="2" t="s">
        <v>18</v>
      </c>
      <c r="H63" s="2" t="s">
        <v>19</v>
      </c>
      <c r="I63" s="2"/>
      <c r="J63" s="2" t="s">
        <v>422</v>
      </c>
      <c r="K63" s="2" t="s">
        <v>20</v>
      </c>
      <c r="L63" s="2" t="s">
        <v>326</v>
      </c>
    </row>
    <row r="64" spans="1:12" ht="52.8" x14ac:dyDescent="0.3">
      <c r="A64" s="2" t="s">
        <v>327</v>
      </c>
      <c r="B64" s="2" t="s">
        <v>321</v>
      </c>
      <c r="C64" s="2" t="s">
        <v>328</v>
      </c>
      <c r="D64" s="2" t="s">
        <v>323</v>
      </c>
      <c r="E64" s="2" t="s">
        <v>329</v>
      </c>
      <c r="F64" s="2" t="s">
        <v>330</v>
      </c>
      <c r="G64" s="2" t="s">
        <v>18</v>
      </c>
      <c r="H64" s="2" t="s">
        <v>19</v>
      </c>
      <c r="I64" s="2"/>
      <c r="J64" s="2" t="s">
        <v>422</v>
      </c>
      <c r="K64" s="2" t="s">
        <v>36</v>
      </c>
      <c r="L64" s="2" t="s">
        <v>331</v>
      </c>
    </row>
    <row r="65" spans="1:12" ht="52.8" x14ac:dyDescent="0.3">
      <c r="A65" s="2" t="s">
        <v>332</v>
      </c>
      <c r="B65" s="2" t="s">
        <v>321</v>
      </c>
      <c r="C65" s="2" t="s">
        <v>333</v>
      </c>
      <c r="D65" s="2" t="s">
        <v>323</v>
      </c>
      <c r="E65" s="2" t="s">
        <v>334</v>
      </c>
      <c r="F65" s="2" t="s">
        <v>335</v>
      </c>
      <c r="G65" s="2" t="s">
        <v>18</v>
      </c>
      <c r="H65" s="2" t="s">
        <v>19</v>
      </c>
      <c r="I65" s="2"/>
      <c r="J65" s="2" t="s">
        <v>422</v>
      </c>
      <c r="K65" s="2" t="s">
        <v>36</v>
      </c>
      <c r="L65" s="2" t="s">
        <v>336</v>
      </c>
    </row>
    <row r="66" spans="1:12" ht="52.8" x14ac:dyDescent="0.3">
      <c r="A66" s="2" t="s">
        <v>337</v>
      </c>
      <c r="B66" s="2" t="s">
        <v>321</v>
      </c>
      <c r="C66" s="2" t="s">
        <v>338</v>
      </c>
      <c r="D66" s="2" t="s">
        <v>323</v>
      </c>
      <c r="E66" s="2" t="s">
        <v>339</v>
      </c>
      <c r="F66" s="2" t="s">
        <v>340</v>
      </c>
      <c r="G66" s="2" t="s">
        <v>18</v>
      </c>
      <c r="H66" s="2" t="s">
        <v>19</v>
      </c>
      <c r="I66" s="2"/>
      <c r="J66" s="2" t="s">
        <v>422</v>
      </c>
      <c r="K66" s="2" t="s">
        <v>36</v>
      </c>
      <c r="L66" s="2" t="s">
        <v>341</v>
      </c>
    </row>
    <row r="67" spans="1:12" ht="52.8" x14ac:dyDescent="0.3">
      <c r="A67" s="2" t="s">
        <v>342</v>
      </c>
      <c r="B67" s="2" t="s">
        <v>321</v>
      </c>
      <c r="C67" s="2" t="s">
        <v>343</v>
      </c>
      <c r="D67" s="2" t="s">
        <v>344</v>
      </c>
      <c r="E67" s="2" t="s">
        <v>345</v>
      </c>
      <c r="F67" s="2" t="s">
        <v>346</v>
      </c>
      <c r="G67" s="2" t="s">
        <v>18</v>
      </c>
      <c r="H67" s="2" t="s">
        <v>19</v>
      </c>
      <c r="I67" s="2"/>
      <c r="J67" s="2" t="s">
        <v>422</v>
      </c>
      <c r="K67" s="2" t="s">
        <v>31</v>
      </c>
      <c r="L67" s="2" t="s">
        <v>347</v>
      </c>
    </row>
    <row r="68" spans="1:12" ht="52.8" x14ac:dyDescent="0.3">
      <c r="A68" s="2" t="s">
        <v>348</v>
      </c>
      <c r="B68" s="2" t="s">
        <v>349</v>
      </c>
      <c r="C68" s="2" t="s">
        <v>350</v>
      </c>
      <c r="D68" s="2" t="s">
        <v>351</v>
      </c>
      <c r="E68" s="2" t="s">
        <v>352</v>
      </c>
      <c r="F68" s="2" t="s">
        <v>353</v>
      </c>
      <c r="G68" s="2" t="s">
        <v>18</v>
      </c>
      <c r="H68" s="2" t="s">
        <v>19</v>
      </c>
      <c r="I68" s="2"/>
      <c r="J68" s="2" t="s">
        <v>422</v>
      </c>
      <c r="K68" s="2" t="s">
        <v>61</v>
      </c>
      <c r="L68" s="2" t="s">
        <v>354</v>
      </c>
    </row>
    <row r="69" spans="1:12" ht="52.8" x14ac:dyDescent="0.3">
      <c r="A69" s="2" t="s">
        <v>355</v>
      </c>
      <c r="B69" s="2" t="s">
        <v>349</v>
      </c>
      <c r="C69" s="2" t="s">
        <v>356</v>
      </c>
      <c r="D69" s="2" t="s">
        <v>357</v>
      </c>
      <c r="E69" s="2" t="s">
        <v>352</v>
      </c>
      <c r="F69" s="2" t="s">
        <v>358</v>
      </c>
      <c r="G69" s="2" t="s">
        <v>18</v>
      </c>
      <c r="H69" s="2" t="s">
        <v>19</v>
      </c>
      <c r="I69" s="2"/>
      <c r="J69" s="2" t="s">
        <v>422</v>
      </c>
      <c r="K69" s="2" t="s">
        <v>61</v>
      </c>
      <c r="L69" s="2" t="s">
        <v>359</v>
      </c>
    </row>
    <row r="70" spans="1:12" ht="52.8" x14ac:dyDescent="0.3">
      <c r="A70" s="2" t="s">
        <v>360</v>
      </c>
      <c r="B70" s="2" t="s">
        <v>349</v>
      </c>
      <c r="C70" s="2" t="s">
        <v>361</v>
      </c>
      <c r="D70" s="2" t="s">
        <v>362</v>
      </c>
      <c r="E70" s="2" t="s">
        <v>363</v>
      </c>
      <c r="F70" s="2" t="s">
        <v>364</v>
      </c>
      <c r="G70" s="2" t="s">
        <v>18</v>
      </c>
      <c r="H70" s="2" t="s">
        <v>19</v>
      </c>
      <c r="I70" s="2"/>
      <c r="J70" s="2" t="s">
        <v>422</v>
      </c>
      <c r="K70" s="2" t="s">
        <v>61</v>
      </c>
      <c r="L70" s="2" t="s">
        <v>365</v>
      </c>
    </row>
    <row r="71" spans="1:12" ht="52.8" x14ac:dyDescent="0.3">
      <c r="A71" s="2" t="s">
        <v>366</v>
      </c>
      <c r="B71" s="2" t="s">
        <v>367</v>
      </c>
      <c r="C71" s="2" t="s">
        <v>368</v>
      </c>
      <c r="D71" s="2" t="s">
        <v>369</v>
      </c>
      <c r="E71" s="2" t="s">
        <v>352</v>
      </c>
      <c r="F71" s="2" t="s">
        <v>370</v>
      </c>
      <c r="G71" s="2" t="s">
        <v>18</v>
      </c>
      <c r="H71" s="2" t="s">
        <v>19</v>
      </c>
      <c r="I71" s="2"/>
      <c r="J71" s="2" t="s">
        <v>422</v>
      </c>
      <c r="K71" s="2" t="s">
        <v>20</v>
      </c>
      <c r="L71" s="2" t="s">
        <v>371</v>
      </c>
    </row>
    <row r="72" spans="1:12" ht="52.8" x14ac:dyDescent="0.3">
      <c r="A72" s="2" t="s">
        <v>372</v>
      </c>
      <c r="B72" s="2" t="s">
        <v>373</v>
      </c>
      <c r="C72" s="2" t="s">
        <v>374</v>
      </c>
      <c r="D72" s="2" t="s">
        <v>375</v>
      </c>
      <c r="E72" s="2" t="s">
        <v>352</v>
      </c>
      <c r="F72" s="2" t="s">
        <v>370</v>
      </c>
      <c r="G72" s="2" t="s">
        <v>18</v>
      </c>
      <c r="H72" s="2" t="s">
        <v>19</v>
      </c>
      <c r="I72" s="2"/>
      <c r="J72" s="2" t="s">
        <v>422</v>
      </c>
      <c r="K72" s="2" t="s">
        <v>36</v>
      </c>
      <c r="L72" s="2" t="s">
        <v>376</v>
      </c>
    </row>
    <row r="73" spans="1:12" ht="52.8" x14ac:dyDescent="0.3">
      <c r="A73" s="2" t="s">
        <v>377</v>
      </c>
      <c r="B73" s="2" t="s">
        <v>373</v>
      </c>
      <c r="C73" s="2" t="s">
        <v>378</v>
      </c>
      <c r="D73" s="2" t="s">
        <v>375</v>
      </c>
      <c r="E73" s="2" t="s">
        <v>352</v>
      </c>
      <c r="F73" s="2" t="s">
        <v>370</v>
      </c>
      <c r="G73" s="2" t="s">
        <v>18</v>
      </c>
      <c r="H73" s="2" t="s">
        <v>19</v>
      </c>
      <c r="I73" s="2"/>
      <c r="J73" s="2" t="s">
        <v>422</v>
      </c>
      <c r="K73" s="2" t="s">
        <v>36</v>
      </c>
      <c r="L73" s="2" t="s">
        <v>379</v>
      </c>
    </row>
    <row r="74" spans="1:12" ht="52.8" x14ac:dyDescent="0.3">
      <c r="A74" s="2" t="s">
        <v>380</v>
      </c>
      <c r="B74" s="2" t="s">
        <v>381</v>
      </c>
      <c r="C74" s="2" t="s">
        <v>382</v>
      </c>
      <c r="D74" s="2" t="s">
        <v>383</v>
      </c>
      <c r="E74" s="2" t="s">
        <v>384</v>
      </c>
      <c r="F74" s="2" t="s">
        <v>385</v>
      </c>
      <c r="G74" s="2" t="s">
        <v>18</v>
      </c>
      <c r="H74" s="2" t="s">
        <v>19</v>
      </c>
      <c r="I74" s="2"/>
      <c r="J74" s="2" t="s">
        <v>422</v>
      </c>
      <c r="K74" s="2" t="s">
        <v>26</v>
      </c>
      <c r="L74" s="2" t="s">
        <v>386</v>
      </c>
    </row>
    <row r="75" spans="1:12" ht="52.8" x14ac:dyDescent="0.3">
      <c r="A75" s="2" t="s">
        <v>387</v>
      </c>
      <c r="B75" s="2" t="s">
        <v>381</v>
      </c>
      <c r="C75" s="2" t="s">
        <v>388</v>
      </c>
      <c r="D75" s="2" t="s">
        <v>389</v>
      </c>
      <c r="E75" s="2" t="s">
        <v>390</v>
      </c>
      <c r="F75" s="2" t="s">
        <v>391</v>
      </c>
      <c r="G75" s="2" t="s">
        <v>18</v>
      </c>
      <c r="H75" s="2" t="s">
        <v>19</v>
      </c>
      <c r="I75" s="2"/>
      <c r="J75" s="2" t="s">
        <v>422</v>
      </c>
      <c r="K75" s="2" t="s">
        <v>20</v>
      </c>
      <c r="L75" s="2" t="s">
        <v>392</v>
      </c>
    </row>
    <row r="76" spans="1:12" ht="52.8" x14ac:dyDescent="0.3">
      <c r="A76" s="2" t="s">
        <v>393</v>
      </c>
      <c r="B76" s="2" t="s">
        <v>381</v>
      </c>
      <c r="C76" s="2" t="s">
        <v>394</v>
      </c>
      <c r="D76" s="2" t="s">
        <v>395</v>
      </c>
      <c r="E76" s="2" t="s">
        <v>396</v>
      </c>
      <c r="F76" s="2" t="s">
        <v>397</v>
      </c>
      <c r="G76" s="2" t="s">
        <v>18</v>
      </c>
      <c r="H76" s="2" t="s">
        <v>19</v>
      </c>
      <c r="I76" s="2"/>
      <c r="J76" s="2" t="s">
        <v>422</v>
      </c>
      <c r="K76" s="2" t="s">
        <v>61</v>
      </c>
      <c r="L76" s="2" t="s">
        <v>398</v>
      </c>
    </row>
  </sheetData>
  <autoFilter ref="A1:L76" xr:uid="{00000000-0009-0000-0000-000000000000}"/>
  <conditionalFormatting sqref="H2:H76">
    <cfRule type="cellIs" dxfId="3" priority="2" operator="equal">
      <formula>"Pass"</formula>
    </cfRule>
    <cfRule type="cellIs" dxfId="2" priority="3" operator="equal">
      <formula>"Fail"</formula>
    </cfRule>
    <cfRule type="cellIs" dxfId="1" priority="4" operator="equal">
      <formula>"Skipped"</formula>
    </cfRule>
    <cfRule type="cellIs" dxfId="0" priority="5" operator="equal">
      <formula>"Not Run"</formula>
    </cfRule>
  </conditionalFormatting>
  <dataValidations count="1">
    <dataValidation type="list" sqref="H2:H76" xr:uid="{00000000-0002-0000-0000-000000000000}">
      <formula1>"Pass,Fail,Skipped,Not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zoomScaleNormal="100" workbookViewId="0">
      <selection activeCell="A28" sqref="A28"/>
    </sheetView>
  </sheetViews>
  <sheetFormatPr defaultColWidth="8.6640625" defaultRowHeight="14.4" x14ac:dyDescent="0.3"/>
  <cols>
    <col min="1" max="1" width="34" customWidth="1"/>
    <col min="2" max="2" width="81.44140625" customWidth="1"/>
    <col min="3" max="4" width="10" customWidth="1"/>
  </cols>
  <sheetData>
    <row r="1" spans="1:4" ht="16.8" x14ac:dyDescent="0.3">
      <c r="A1" s="3" t="s">
        <v>399</v>
      </c>
      <c r="B1" s="4"/>
      <c r="C1" s="4"/>
      <c r="D1" s="4"/>
    </row>
    <row r="2" spans="1:4" x14ac:dyDescent="0.3">
      <c r="A2" s="4"/>
      <c r="B2" s="4"/>
      <c r="C2" s="4"/>
      <c r="D2" s="4"/>
    </row>
    <row r="3" spans="1:4" x14ac:dyDescent="0.3">
      <c r="A3" s="5" t="s">
        <v>400</v>
      </c>
      <c r="B3" s="4"/>
      <c r="C3" s="4"/>
      <c r="D3" s="4"/>
    </row>
    <row r="4" spans="1:4" x14ac:dyDescent="0.3">
      <c r="A4" s="4" t="s">
        <v>401</v>
      </c>
      <c r="B4" s="4">
        <f>COUNTA('Test Cases'!A2:A76)</f>
        <v>75</v>
      </c>
      <c r="C4" s="4"/>
      <c r="D4" s="4"/>
    </row>
    <row r="5" spans="1:4" x14ac:dyDescent="0.3">
      <c r="A5" s="4" t="s">
        <v>19</v>
      </c>
      <c r="B5" s="4">
        <f>COUNTIF('Test Cases'!H2:H76,"Pass")</f>
        <v>74</v>
      </c>
      <c r="C5" s="4"/>
      <c r="D5" s="4"/>
    </row>
    <row r="6" spans="1:4" x14ac:dyDescent="0.3">
      <c r="A6" s="4" t="s">
        <v>402</v>
      </c>
      <c r="B6" s="4">
        <f>COUNTIF('Test Cases'!H2:H76,"Fail")</f>
        <v>0</v>
      </c>
      <c r="C6" s="4"/>
      <c r="D6" s="4"/>
    </row>
    <row r="7" spans="1:4" x14ac:dyDescent="0.3">
      <c r="A7" s="4" t="s">
        <v>259</v>
      </c>
      <c r="B7" s="4">
        <f>COUNTIF('Test Cases'!H2:H76,"Skipped")</f>
        <v>1</v>
      </c>
      <c r="C7" s="4"/>
      <c r="D7" s="4"/>
    </row>
    <row r="8" spans="1:4" x14ac:dyDescent="0.3">
      <c r="A8" s="4" t="s">
        <v>403</v>
      </c>
      <c r="B8" s="4">
        <f>COUNTIF('Test Cases'!H2:H76,"Not Run")</f>
        <v>0</v>
      </c>
      <c r="C8" s="4"/>
      <c r="D8" s="4"/>
    </row>
    <row r="9" spans="1:4" x14ac:dyDescent="0.3">
      <c r="A9" s="4" t="s">
        <v>404</v>
      </c>
      <c r="B9" s="6">
        <f>IF((B5+B6)=0,0,B5/(B5+B6))</f>
        <v>1</v>
      </c>
      <c r="C9" s="4"/>
      <c r="D9" s="4"/>
    </row>
    <row r="10" spans="1:4" x14ac:dyDescent="0.3">
      <c r="A10" s="4"/>
      <c r="B10" s="4"/>
      <c r="C10" s="4"/>
      <c r="D10" s="4"/>
    </row>
    <row r="11" spans="1:4" x14ac:dyDescent="0.3">
      <c r="A11" s="5" t="s">
        <v>405</v>
      </c>
      <c r="B11" s="4"/>
      <c r="C11" s="4"/>
      <c r="D11" s="4"/>
    </row>
    <row r="12" spans="1:4" x14ac:dyDescent="0.3">
      <c r="A12" s="5" t="s">
        <v>406</v>
      </c>
      <c r="B12" s="5" t="s">
        <v>407</v>
      </c>
      <c r="C12" s="5" t="s">
        <v>19</v>
      </c>
      <c r="D12" s="5" t="s">
        <v>402</v>
      </c>
    </row>
    <row r="13" spans="1:4" x14ac:dyDescent="0.3">
      <c r="A13" s="4" t="s">
        <v>20</v>
      </c>
      <c r="B13" s="4">
        <f>COUNTIF('Test Cases'!K2:K76,A13)</f>
        <v>18</v>
      </c>
      <c r="C13" s="4">
        <f>COUNTIFS('Test Cases'!K2:K76,A13,'Test Cases'!H2:H76,"Pass")</f>
        <v>18</v>
      </c>
      <c r="D13" s="4">
        <f>COUNTIFS('Test Cases'!K2:K76,A13,'Test Cases'!H2:H76,"Fail")</f>
        <v>0</v>
      </c>
    </row>
    <row r="14" spans="1:4" x14ac:dyDescent="0.3">
      <c r="A14" s="4" t="s">
        <v>36</v>
      </c>
      <c r="B14" s="4">
        <f>COUNTIF('Test Cases'!K2:K76,A14)</f>
        <v>21</v>
      </c>
      <c r="C14" s="4">
        <f>COUNTIFS('Test Cases'!K2:K76,A14,'Test Cases'!H2:H76,"Pass")</f>
        <v>21</v>
      </c>
      <c r="D14" s="4">
        <f>COUNTIFS('Test Cases'!K2:K76,A14,'Test Cases'!H2:H76,"Fail")</f>
        <v>0</v>
      </c>
    </row>
    <row r="15" spans="1:4" x14ac:dyDescent="0.3">
      <c r="A15" s="4" t="s">
        <v>26</v>
      </c>
      <c r="B15" s="4">
        <f>COUNTIF('Test Cases'!K2:K76,A15)</f>
        <v>11</v>
      </c>
      <c r="C15" s="4">
        <f>COUNTIFS('Test Cases'!K2:K76,A15,'Test Cases'!H2:H76,"Pass")</f>
        <v>11</v>
      </c>
      <c r="D15" s="4">
        <f>COUNTIFS('Test Cases'!K2:K76,A15,'Test Cases'!H2:H76,"Fail")</f>
        <v>0</v>
      </c>
    </row>
    <row r="16" spans="1:4" x14ac:dyDescent="0.3">
      <c r="A16" s="4" t="s">
        <v>61</v>
      </c>
      <c r="B16" s="4">
        <f>COUNTIF('Test Cases'!K2:K76,A16)</f>
        <v>20</v>
      </c>
      <c r="C16" s="4">
        <f>COUNTIFS('Test Cases'!K2:K76,A16,'Test Cases'!H2:H76,"Pass")</f>
        <v>20</v>
      </c>
      <c r="D16" s="4">
        <f>COUNTIFS('Test Cases'!K2:K76,A16,'Test Cases'!H2:H76,"Fail")</f>
        <v>0</v>
      </c>
    </row>
    <row r="17" spans="1:4" x14ac:dyDescent="0.3">
      <c r="A17" s="4" t="s">
        <v>31</v>
      </c>
      <c r="B17" s="4">
        <f>COUNTIF('Test Cases'!K2:K76,A17)</f>
        <v>4</v>
      </c>
      <c r="C17" s="4">
        <f>COUNTIFS('Test Cases'!K2:K76,A17,'Test Cases'!H2:H76,"Pass")</f>
        <v>4</v>
      </c>
      <c r="D17" s="4">
        <f>COUNTIFS('Test Cases'!K2:K76,A17,'Test Cases'!H2:H76,"Fail")</f>
        <v>0</v>
      </c>
    </row>
    <row r="18" spans="1:4" x14ac:dyDescent="0.3">
      <c r="A18" s="4" t="s">
        <v>260</v>
      </c>
      <c r="B18" s="4">
        <f>COUNTIF('Test Cases'!K2:K76,A18)</f>
        <v>1</v>
      </c>
      <c r="C18" s="4">
        <f>COUNTIFS('Test Cases'!K2:K76,A18,'Test Cases'!H2:H76,"Pass")</f>
        <v>0</v>
      </c>
      <c r="D18" s="4">
        <f>COUNTIFS('Test Cases'!K2:K76,A18,'Test Cases'!H2:H76,"Fail")</f>
        <v>0</v>
      </c>
    </row>
    <row r="19" spans="1:4" x14ac:dyDescent="0.3">
      <c r="A19" s="4"/>
      <c r="B19" s="4"/>
      <c r="C19" s="4"/>
      <c r="D19" s="4"/>
    </row>
    <row r="20" spans="1:4" x14ac:dyDescent="0.3">
      <c r="A20" s="5" t="s">
        <v>408</v>
      </c>
      <c r="B20" s="4"/>
      <c r="C20" s="4"/>
      <c r="D20" s="4"/>
    </row>
    <row r="21" spans="1:4" x14ac:dyDescent="0.3">
      <c r="A21" s="4" t="s">
        <v>409</v>
      </c>
      <c r="B21" s="7" t="s">
        <v>410</v>
      </c>
      <c r="C21" s="4"/>
      <c r="D21" s="4"/>
    </row>
    <row r="22" spans="1:4" x14ac:dyDescent="0.3">
      <c r="A22" s="4" t="s">
        <v>411</v>
      </c>
      <c r="B22" s="7" t="s">
        <v>412</v>
      </c>
      <c r="C22" s="4"/>
      <c r="D22" s="4"/>
    </row>
    <row r="23" spans="1:4" x14ac:dyDescent="0.3">
      <c r="A23" s="4" t="s">
        <v>413</v>
      </c>
      <c r="B23" s="7" t="s">
        <v>414</v>
      </c>
      <c r="C23" s="4"/>
      <c r="D23" s="4"/>
    </row>
    <row r="24" spans="1:4" x14ac:dyDescent="0.3">
      <c r="A24" s="4" t="s">
        <v>415</v>
      </c>
      <c r="B24" s="7" t="s">
        <v>416</v>
      </c>
      <c r="C24" s="4"/>
      <c r="D24" s="4"/>
    </row>
    <row r="25" spans="1:4" x14ac:dyDescent="0.3">
      <c r="A25" s="4" t="s">
        <v>417</v>
      </c>
      <c r="B25" s="7" t="s">
        <v>422</v>
      </c>
      <c r="C25" s="4"/>
      <c r="D25" s="4"/>
    </row>
    <row r="26" spans="1:4" x14ac:dyDescent="0.3">
      <c r="A26" s="4"/>
      <c r="B26" s="7"/>
      <c r="C26" s="4"/>
      <c r="D26" s="4"/>
    </row>
    <row r="27" spans="1:4" x14ac:dyDescent="0.3">
      <c r="A27" s="5" t="s">
        <v>418</v>
      </c>
      <c r="B27" s="4"/>
      <c r="C27" s="4"/>
      <c r="D27" s="4"/>
    </row>
    <row r="28" spans="1:4" x14ac:dyDescent="0.3">
      <c r="A28" s="4"/>
      <c r="B28" s="4"/>
      <c r="C28" s="4"/>
      <c r="D28" s="4"/>
    </row>
    <row r="29" spans="1:4" x14ac:dyDescent="0.3">
      <c r="A29" s="4" t="s">
        <v>419</v>
      </c>
      <c r="B29" s="4"/>
      <c r="C29" s="4"/>
      <c r="D29" s="4"/>
    </row>
    <row r="30" spans="1:4" x14ac:dyDescent="0.3">
      <c r="A30" s="4" t="s">
        <v>420</v>
      </c>
      <c r="B30" s="4"/>
      <c r="C30" s="4"/>
      <c r="D30" s="4"/>
    </row>
    <row r="31" spans="1:4" x14ac:dyDescent="0.3">
      <c r="A31" s="4" t="s">
        <v>421</v>
      </c>
      <c r="B31" s="4"/>
      <c r="C31" s="4"/>
      <c r="D31" s="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Muhammad Reyan</cp:lastModifiedBy>
  <cp:revision>0</cp:revision>
  <dcterms:created xsi:type="dcterms:W3CDTF">2026-10-25T18:03:10Z</dcterms:created>
  <dcterms:modified xsi:type="dcterms:W3CDTF">2026-10-25T18:23:10Z</dcterms:modified>
  <dc:language>en-US</dc:language>
</cp:coreProperties>
</file>