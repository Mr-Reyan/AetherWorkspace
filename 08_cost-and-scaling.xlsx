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Hosting Comparison" sheetId="3" state="visible" r:id="rId5"/>
    <sheet name="Prices" sheetId="4" state="visible" r:id="rId6"/>
    <sheet name="Scalin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<sst xmlns="http://schemas.openxmlformats.org/spreadsheetml/2006/main" count="405" uniqueCount="284">
  <si>
    <t xml:space="preserve">Cost and Scaling: AI SaaS Workspace (Project 1)</t>
  </si>
  <si>
    <t xml:space="preserve">Currency: USD. Date prices accessed: 2026-10-25. AWS region: us-east-1 (N. Virginia). Hostinger prices are not region-specific.</t>
  </si>
  <si>
    <t xml:space="preserve">Sheets: Assumptions (inputs) -&gt; Prices (each price with source URL and date) -&gt; Hosting Comparison (Hostinger vs AWS, 100-user MVP) -&gt; Scaling (100 / 1,000 / 10,000 / 1,000,000 users).</t>
  </si>
  <si>
    <t xml:space="preserve">Colour code: blue text = hardcoded input or sourced price; black = formula; green = link to another sheet; yellow fill = ASSUMPTION YOU SHOULD REVIEW or value still missing.</t>
  </si>
  <si>
    <t xml:space="preserve">How to read the numbers</t>
  </si>
  <si>
    <t xml:space="preserve">1. Every price is on the Prices sheet with a URL. Several AWS prices were read from third-party mirrors of the AWS price list, because aws.amazon.com pricing pages load dynamically. Open the official URL in the 'Official page to verify' column and correct any price that differs before you submit.</t>
  </si>
  <si>
    <t xml:space="preserve">2. Usage figures (asks per user, tokens per ask, document sizes, traffic peaks) are ASSUMPTIONS, not measurements. Replace them with numbers from your own demo/logs where you can.</t>
  </si>
  <si>
    <t xml:space="preserve">3. Items with no sourced price (monitoring, queue service, domain, Jina reranker, backups on Hostinger) are listed as UNPRICED and excluded from totals. They are not assumed to be free unless a note says self-hosted.</t>
  </si>
  <si>
    <t xml:space="preserve">4. The 1,000,000-user column is an order-of-magnitude estimate built from multiples of priced instances. It is not a design that has been load-tested.</t>
  </si>
  <si>
    <t xml:space="preserve">Assumptions (inputs)</t>
  </si>
  <si>
    <t xml:space="preserve">Assumption</t>
  </si>
  <si>
    <t xml:space="preserve">Value</t>
  </si>
  <si>
    <t xml:space="preserve">Unit</t>
  </si>
  <si>
    <t xml:space="preserve">Why this value (change it if you have data)</t>
  </si>
  <si>
    <t xml:space="preserve">Hours per month</t>
  </si>
  <si>
    <t xml:space="preserve">hours</t>
  </si>
  <si>
    <t xml:space="preserve">Standard cloud billing month (365*24/12).</t>
  </si>
  <si>
    <t xml:space="preserve">Monthly active share of registered users</t>
  </si>
  <si>
    <t xml:space="preserve">fraction</t>
  </si>
  <si>
    <t xml:space="preserve">ASSUMPTION: 3 in 10 registered users ask at least once per month.</t>
  </si>
  <si>
    <t xml:space="preserve">Asks per active user per month</t>
  </si>
  <si>
    <t xml:space="preserve">asks</t>
  </si>
  <si>
    <t xml:space="preserve">ASSUMPTION: about 2 questions per working day.</t>
  </si>
  <si>
    <t xml:space="preserve">Average LLM input tokens per ask</t>
  </si>
  <si>
    <t xml:space="preserve">tokens</t>
  </si>
  <si>
    <t xml:space="preserve">ASSUMPTION: 3 retrieved chunks (about 200 tokens each) + instructions + question.</t>
  </si>
  <si>
    <t xml:space="preserve">Average LLM output tokens per ask</t>
  </si>
  <si>
    <t xml:space="preserve">ASSUMPTION: short grounded answers; code caps output at 800.</t>
  </si>
  <si>
    <t xml:space="preserve">Embedding tokens per ask (the question)</t>
  </si>
  <si>
    <t xml:space="preserve">ASSUMPTION.</t>
  </si>
  <si>
    <t xml:space="preserve">Share of asks that reach the LLM</t>
  </si>
  <si>
    <t xml:space="preserve">ASSUMPTION: the rest are 'not found' and skip the LLM.</t>
  </si>
  <si>
    <t xml:space="preserve">New documents per active user per month</t>
  </si>
  <si>
    <t xml:space="preserve">docs</t>
  </si>
  <si>
    <t xml:space="preserve">Average tokens per document</t>
  </si>
  <si>
    <t xml:space="preserve">ASSUMPTION: about 10-12 pages.</t>
  </si>
  <si>
    <t xml:space="preserve">Embedding overhead from chunk overlap</t>
  </si>
  <si>
    <t xml:space="preserve">x</t>
  </si>
  <si>
    <t xml:space="preserve">Chunk size 800 characters, overlap 100 -&gt; about 1.125x.</t>
  </si>
  <si>
    <t xml:space="preserve">Average uploaded file size</t>
  </si>
  <si>
    <t xml:space="preserve">MB</t>
  </si>
  <si>
    <t xml:space="preserve">ASSUMPTION. Upload limit in code is 20 MB.</t>
  </si>
  <si>
    <t xml:space="preserve">Database size per document (chunks + vectors + index)</t>
  </si>
  <si>
    <t xml:space="preserve">ASSUMPTION: ~30 chunks x (4 KB vector + 1 KB text) x ~3 for index and overhead.</t>
  </si>
  <si>
    <t xml:space="preserve">Documents stored per registered user (average)</t>
  </si>
  <si>
    <t xml:space="preserve">Average API response size to the user</t>
  </si>
  <si>
    <t xml:space="preserve">KB</t>
  </si>
  <si>
    <t xml:space="preserve">ASSUMPTION: answer + citations.</t>
  </si>
  <si>
    <t xml:space="preserve">Peak-to-average traffic multiplier</t>
  </si>
  <si>
    <t xml:space="preserve">ASSUMPTION: bursty office-hours traffic.</t>
  </si>
  <si>
    <t xml:space="preserve">Average time one ask holds a worker</t>
  </si>
  <si>
    <t xml:space="preserve">seconds</t>
  </si>
  <si>
    <t xml:space="preserve">ASSUMPTION: embed + search + rerank + LLM call.</t>
  </si>
  <si>
    <t xml:space="preserve">Concurrent asks one t3.large app server can hold</t>
  </si>
  <si>
    <t xml:space="preserve">ASSUMPTION: mostly waiting on network, ~8 worker threads/processes.</t>
  </si>
  <si>
    <t xml:space="preserve">Total backup storage as a multiple of database size</t>
  </si>
  <si>
    <t xml:space="preserve">ASSUMPTION. AWS gives backup storage equal to DB size free (see Prices note).</t>
  </si>
  <si>
    <t xml:space="preserve">Database data one RDS node can serve with vector search</t>
  </si>
  <si>
    <t xml:space="preserve">GB</t>
  </si>
  <si>
    <t xml:space="preserve">ASSUMPTION: vector search needs index in RAM; revisit with load tests.</t>
  </si>
  <si>
    <t xml:space="preserve">Minimum app servers once high availability is needed</t>
  </si>
  <si>
    <t xml:space="preserve">servers</t>
  </si>
  <si>
    <t xml:space="preserve">Two servers so one can fail.</t>
  </si>
  <si>
    <t xml:space="preserve">Hosting comparison: 100-user MVP, monthly (USD)</t>
  </si>
  <si>
    <t xml:space="preserve">Component</t>
  </si>
  <si>
    <t xml:space="preserve">Hostinger VPS option</t>
  </si>
  <si>
    <t xml:space="preserve">Qty</t>
  </si>
  <si>
    <t xml:space="preserve">Unit price</t>
  </si>
  <si>
    <t xml:space="preserve">Monthly</t>
  </si>
  <si>
    <t xml:space="preserve">AWS option</t>
  </si>
  <si>
    <t xml:space="preserve">Compute</t>
  </si>
  <si>
    <t xml:space="preserve">KVM 2 plan (includes 2 vCPU, 8 GB RAM)</t>
  </si>
  <si>
    <t xml:space="preserve">EC2 t3.large (app server)</t>
  </si>
  <si>
    <t xml:space="preserve">Database</t>
  </si>
  <si>
    <t xml:space="preserve">Postgres + pgvector on the same VPS (software is open source)</t>
  </si>
  <si>
    <t xml:space="preserve">RDS db.t3.medium Single-AZ</t>
  </si>
  <si>
    <t xml:space="preserve">Database storage</t>
  </si>
  <si>
    <t xml:space="preserve">Included in the 100 GB NVMe disk</t>
  </si>
  <si>
    <t xml:space="preserve">RDS gp3 storage (GB)</t>
  </si>
  <si>
    <t xml:space="preserve">File/object storage</t>
  </si>
  <si>
    <t xml:space="preserve">Local disk on the VPS (included)</t>
  </si>
  <si>
    <t xml:space="preserve">S3 Standard (GB)</t>
  </si>
  <si>
    <t xml:space="preserve">Backups</t>
  </si>
  <si>
    <t xml:space="preserve">UNPRICED: Hostinger backup option not sourced</t>
  </si>
  <si>
    <t xml:space="preserve">RDS backup beyond free (GB)</t>
  </si>
  <si>
    <t xml:space="preserve">Bandwidth</t>
  </si>
  <si>
    <t xml:space="preserve">8 TB/month included in plan</t>
  </si>
  <si>
    <t xml:space="preserve">Data transfer out above free (GB)</t>
  </si>
  <si>
    <t xml:space="preserve">Monitoring</t>
  </si>
  <si>
    <t xml:space="preserve">UNPRICED (self-hosted open-source tools would run on the same VPS)</t>
  </si>
  <si>
    <t xml:space="preserve">UNPRICED: CloudWatch not sourced</t>
  </si>
  <si>
    <t xml:space="preserve">Queue / background jobs</t>
  </si>
  <si>
    <t xml:space="preserve">Thread today; Redis on same VPS if added (no vendor price)</t>
  </si>
  <si>
    <t xml:space="preserve">UNPRICED: SQS or ElastiCache not sourced</t>
  </si>
  <si>
    <t xml:space="preserve">Domain</t>
  </si>
  <si>
    <t xml:space="preserve">UNPRICED: registrar price not sourced</t>
  </si>
  <si>
    <t xml:space="preserve">UNPRICED: Route 53 not sourced</t>
  </si>
  <si>
    <t xml:space="preserve">Paid APIs: embeddings</t>
  </si>
  <si>
    <t xml:space="preserve">OpenAI text-embedding-3-small</t>
  </si>
  <si>
    <t xml:space="preserve">Paid APIs: LLM (gpt-6-luna)</t>
  </si>
  <si>
    <t xml:space="preserve">OpenAI gpt-6-luna</t>
  </si>
  <si>
    <t xml:space="preserve">Monthly total (priced items only)</t>
  </si>
  <si>
    <t xml:space="preserve">Infrastructure only (excluding the two paid API rows)</t>
  </si>
  <si>
    <t xml:space="preserve">Reading this: Hostinger bundles compute, storage and bandwidth in one fixed price, so it is far cheaper for an MVP but is one server (no automatic failover) and backups/monitoring are on you. AWS costs more but separates concerns (managed database with backups, object storage, room to scale out). Prices: see Prices sheet for URLs and the date accessed.</t>
  </si>
  <si>
    <t xml:space="preserve">Prices (vendor, unit price, source URL, date accessed)</t>
  </si>
  <si>
    <t xml:space="preserve">Key</t>
  </si>
  <si>
    <t xml:space="preserve">Vendor</t>
  </si>
  <si>
    <t xml:space="preserve">Item</t>
  </si>
  <si>
    <t xml:space="preserve">Price (USD)</t>
  </si>
  <si>
    <t xml:space="preserve">Region</t>
  </si>
  <si>
    <t xml:space="preserve">Source type</t>
  </si>
  <si>
    <t xml:space="preserve">Source URL used</t>
  </si>
  <si>
    <t xml:space="preserve">Official page to verify</t>
  </si>
  <si>
    <t xml:space="preserve">Date accessed</t>
  </si>
  <si>
    <t xml:space="preserve">Note</t>
  </si>
  <si>
    <t xml:space="preserve">luna_in</t>
  </si>
  <si>
    <t xml:space="preserve">OpenAI</t>
  </si>
  <si>
    <t xml:space="preserve">gpt-6-luna input</t>
  </si>
  <si>
    <t xml:space="preserve">per 1M tokens</t>
  </si>
  <si>
    <t xml:space="preserve">Global</t>
  </si>
  <si>
    <t xml:space="preserve">Vendor page</t>
  </si>
  <si>
    <t xml:space="preserve">https://developers.openai.com/api/docs/pricing</t>
  </si>
  <si>
    <t xml:space="preserve">2026-10-25</t>
  </si>
  <si>
    <t xml:space="preserve">Standard processing, short context.</t>
  </si>
  <si>
    <t xml:space="preserve">luna_out</t>
  </si>
  <si>
    <t xml:space="preserve">gpt-6-luna output</t>
  </si>
  <si>
    <t xml:space="preserve">sol_in</t>
  </si>
  <si>
    <t xml:space="preserve">gpt-6.1-sol input</t>
  </si>
  <si>
    <t xml:space="preserve">Higher-quality tier to compare against.</t>
  </si>
  <si>
    <t xml:space="preserve">sol_out</t>
  </si>
  <si>
    <t xml:space="preserve">gpt-6.1-sol output</t>
  </si>
  <si>
    <t xml:space="preserve">embed</t>
  </si>
  <si>
    <t xml:space="preserve">text-embedding-3-small</t>
  </si>
  <si>
    <t xml:space="preserve">Third-party mirror</t>
  </si>
  <si>
    <t xml:space="preserve">https://www.llmreference.com/model/text-embedding-3-small/openai-api</t>
  </si>
  <si>
    <t xml:space="preserve">Embedding rows were not on the official page when read; VERIFY this price.</t>
  </si>
  <si>
    <t xml:space="preserve">kvm2</t>
  </si>
  <si>
    <t xml:space="preserve">Hostinger</t>
  </si>
  <si>
    <t xml:space="preserve">VPS KVM 2 (2 vCPU, 8 GB RAM, 100 GB NVMe, 8 TB bandwidth)</t>
  </si>
  <si>
    <t xml:space="preserve">per month</t>
  </si>
  <si>
    <t xml:space="preserve">n/a (USD)</t>
  </si>
  <si>
    <t xml:space="preserve">Vendor page (markdown copy)</t>
  </si>
  <si>
    <t xml:space="preserve">https://www.hostinger.com/vps-hosting.md</t>
  </si>
  <si>
    <t xml:space="preserve">https://www.hostinger.com/vps-hosting</t>
  </si>
  <si>
    <t xml:space="preserve">Renewal price. Promo price on a 24-month term was listed as $8.99. Renewal is used for a realistic budget.</t>
  </si>
  <si>
    <t xml:space="preserve">kvm4</t>
  </si>
  <si>
    <t xml:space="preserve">VPS KVM 4 (4 vCPU, 16 GB RAM, 200 GB NVMe, 16 TB bandwidth)</t>
  </si>
  <si>
    <t xml:space="preserve">Renewal price. Promo price on a 24-month term was listed as $12.99.</t>
  </si>
  <si>
    <t xml:space="preserve">t3large</t>
  </si>
  <si>
    <t xml:space="preserve">AWS</t>
  </si>
  <si>
    <t xml:space="preserve">EC2 t3.large (2 vCPU, 8 GiB) Linux on-demand</t>
  </si>
  <si>
    <t xml:space="preserve">per hour</t>
  </si>
  <si>
    <t xml:space="preserve">us-east-1</t>
  </si>
  <si>
    <t xml:space="preserve">https://www.doit.com/compute/spot/us-east-1/t3.large</t>
  </si>
  <si>
    <t xml:space="preserve">https://aws.amazon.com/ec2/pricing/on-demand/</t>
  </si>
  <si>
    <t xml:space="preserve">Verify on the AWS page or AWS Pricing Calculator.</t>
  </si>
  <si>
    <t xml:space="preserve">g5xl</t>
  </si>
  <si>
    <t xml:space="preserve">EC2 g5.xlarge (1x NVIDIA A10G, 16 GiB) Linux on-demand</t>
  </si>
  <si>
    <t xml:space="preserve">https://www.doit.com/compute/spot/us-east-1/g5.xlarge</t>
  </si>
  <si>
    <t xml:space="preserve">Self-hosted open-source model option.</t>
  </si>
  <si>
    <t xml:space="preserve">rds_t3m</t>
  </si>
  <si>
    <t xml:space="preserve">RDS PostgreSQL db.t3.medium (2 vCPU, 4 GiB), Single-AZ</t>
  </si>
  <si>
    <t xml:space="preserve">https://cloudprice.net/aws/rds/instances/db.t3.medium</t>
  </si>
  <si>
    <t xml:space="preserve">https://aws.amazon.com/rds/postgresql/pricing/</t>
  </si>
  <si>
    <t xml:space="preserve">pgvector is supported on RDS PostgreSQL; confirm for your engine version.</t>
  </si>
  <si>
    <t xml:space="preserve">rds_r6g</t>
  </si>
  <si>
    <t xml:space="preserve">RDS PostgreSQL db.r6g.large (2 vCPU, 16 GiB), Multi-AZ</t>
  </si>
  <si>
    <t xml:space="preserve">Third-party (case study, checked Aug 2026)</t>
  </si>
  <si>
    <t xml:space="preserve">https://selfhost.dev/case-studies/aws-rds-cost-optimization-saas/</t>
  </si>
  <si>
    <t xml:space="preserve">Multi-AZ rate as quoted in the source.</t>
  </si>
  <si>
    <t xml:space="preserve">rds_gp3</t>
  </si>
  <si>
    <t xml:space="preserve">RDS gp3 storage</t>
  </si>
  <si>
    <t xml:space="preserve">per GB-month</t>
  </si>
  <si>
    <t xml:space="preserve">https://selfhost.dev/blog/aws-rds-cost-breakdown-2026/</t>
  </si>
  <si>
    <t xml:space="preserve">Billed on both nodes under Multi-AZ (per source).</t>
  </si>
  <si>
    <t xml:space="preserve">rds_bkp</t>
  </si>
  <si>
    <t xml:space="preserve">RDS backup storage beyond free allocation</t>
  </si>
  <si>
    <t xml:space="preserve">Third-party (case study)</t>
  </si>
  <si>
    <t xml:space="preserve">Free up to the size of the database, per the sources read.</t>
  </si>
  <si>
    <t xml:space="preserve">s3_gb</t>
  </si>
  <si>
    <t xml:space="preserve">S3 Standard storage (first 50 TB)</t>
  </si>
  <si>
    <t xml:space="preserve">https://costgoat.com/pricing/amazon-s3</t>
  </si>
  <si>
    <t xml:space="preserve">https://aws.amazon.com/s3/pricing/</t>
  </si>
  <si>
    <t xml:space="preserve">s3_put</t>
  </si>
  <si>
    <t xml:space="preserve">S3 PUT/COPY/POST/LIST requests</t>
  </si>
  <si>
    <t xml:space="preserve">per 1,000</t>
  </si>
  <si>
    <t xml:space="preserve">s3_get</t>
  </si>
  <si>
    <t xml:space="preserve">S3 GET requests</t>
  </si>
  <si>
    <t xml:space="preserve">egress</t>
  </si>
  <si>
    <t xml:space="preserve">Data transfer out to internet (first 10 TB tier)</t>
  </si>
  <si>
    <t xml:space="preserve">per GB</t>
  </si>
  <si>
    <t xml:space="preserve">egress_free</t>
  </si>
  <si>
    <t xml:space="preserve">Free data transfer out per month (all services)</t>
  </si>
  <si>
    <t xml:space="preserve">UNPRICED items (no sourced price; excluded from totals):</t>
  </si>
  <si>
    <t xml:space="preserve">Jina reranker API (optional; look up at jina.ai pricing)</t>
  </si>
  <si>
    <t xml:space="preserve">AWS CloudWatch / monitoring</t>
  </si>
  <si>
    <t xml:space="preserve">Managed queue (SQS) or Redis</t>
  </si>
  <si>
    <t xml:space="preserve">Domain name and DNS</t>
  </si>
  <si>
    <t xml:space="preserve">Hostinger backup add-on</t>
  </si>
  <si>
    <t xml:space="preserve">Application load balancer, NAT gateway, public IPv4 charges (AWS)</t>
  </si>
  <si>
    <t xml:space="preserve">Scaling scenarios (monthly, USD)</t>
  </si>
  <si>
    <t xml:space="preserve">Line</t>
  </si>
  <si>
    <t xml:space="preserve">100 users</t>
  </si>
  <si>
    <t xml:space="preserve">1,000 users</t>
  </si>
  <si>
    <t xml:space="preserve">10,000 users</t>
  </si>
  <si>
    <t xml:space="preserve">1,000,000 users</t>
  </si>
  <si>
    <t xml:space="preserve">How calculated</t>
  </si>
  <si>
    <t xml:space="preserve">Registered users</t>
  </si>
  <si>
    <t xml:space="preserve">Scenario input</t>
  </si>
  <si>
    <t xml:space="preserve">Monthly active users</t>
  </si>
  <si>
    <t xml:space="preserve">registered x active share</t>
  </si>
  <si>
    <t xml:space="preserve">Asks per month</t>
  </si>
  <si>
    <t xml:space="preserve">MAU x asks per active user</t>
  </si>
  <si>
    <t xml:space="preserve">Average asks per second</t>
  </si>
  <si>
    <t xml:space="preserve">asks / seconds in 30 days</t>
  </si>
  <si>
    <t xml:space="preserve">Peak asks per second</t>
  </si>
  <si>
    <t xml:space="preserve">average x peak multiplier</t>
  </si>
  <si>
    <t xml:space="preserve">Concurrent asks at peak</t>
  </si>
  <si>
    <t xml:space="preserve">peak rate x time a worker is held (Little's law)</t>
  </si>
  <si>
    <t xml:space="preserve">App servers needed (t3.large)</t>
  </si>
  <si>
    <t xml:space="preserve">capacity or HA minimum</t>
  </si>
  <si>
    <t xml:space="preserve">Document files stored (GB)</t>
  </si>
  <si>
    <t xml:space="preserve">users x docs x file size</t>
  </si>
  <si>
    <t xml:space="preserve">Database data (GB)</t>
  </si>
  <si>
    <t xml:space="preserve">users x docs x DB MB per doc</t>
  </si>
  <si>
    <t xml:space="preserve">Database nodes (RDS)</t>
  </si>
  <si>
    <t xml:space="preserve">1 small node up to 1,000 users; then sized by data per node</t>
  </si>
  <si>
    <t xml:space="preserve">LLM input tokens / month</t>
  </si>
  <si>
    <t xml:space="preserve">asks reaching LLM x input tokens</t>
  </si>
  <si>
    <t xml:space="preserve">LLM output tokens / month</t>
  </si>
  <si>
    <t xml:space="preserve">asks reaching LLM x output tokens</t>
  </si>
  <si>
    <t xml:space="preserve">Embedding tokens / month</t>
  </si>
  <si>
    <t xml:space="preserve">questions + new documents (with overlap)</t>
  </si>
  <si>
    <t xml:space="preserve">Response data out (GB)</t>
  </si>
  <si>
    <t xml:space="preserve">asks x response size</t>
  </si>
  <si>
    <t xml:space="preserve">-- Paid AI APIs --</t>
  </si>
  <si>
    <t xml:space="preserve">Embeddings (text-embedding-3-small)</t>
  </si>
  <si>
    <t xml:space="preserve">tokens / 1M x price</t>
  </si>
  <si>
    <t xml:space="preserve">LLM cost if gpt-6-luna</t>
  </si>
  <si>
    <t xml:space="preserve">input + output cost</t>
  </si>
  <si>
    <t xml:space="preserve">LLM cost if gpt-6.1-sol</t>
  </si>
  <si>
    <t xml:space="preserve">-- AWS infrastructure (us-east-1) --</t>
  </si>
  <si>
    <t xml:space="preserve">App servers (t3.large)</t>
  </si>
  <si>
    <t xml:space="preserve">servers x hourly x hours</t>
  </si>
  <si>
    <t xml:space="preserve">Database instances</t>
  </si>
  <si>
    <t xml:space="preserve">db.t3.medium up to 1,000 users; db.r6g.large Multi-AZ above</t>
  </si>
  <si>
    <t xml:space="preserve">Database storage (gp3)</t>
  </si>
  <si>
    <t xml:space="preserve">GB x price; doubled under Multi-AZ</t>
  </si>
  <si>
    <t xml:space="preserve">Database backups beyond free</t>
  </si>
  <si>
    <t xml:space="preserve">only backup GB above DB size is billed</t>
  </si>
  <si>
    <t xml:space="preserve">S3 file storage</t>
  </si>
  <si>
    <t xml:space="preserve">GB x price</t>
  </si>
  <si>
    <t xml:space="preserve">S3 requests</t>
  </si>
  <si>
    <t xml:space="preserve">one PUT and one GET per new document</t>
  </si>
  <si>
    <t xml:space="preserve">Data transfer out</t>
  </si>
  <si>
    <t xml:space="preserve">GB above free allowance x price</t>
  </si>
  <si>
    <t xml:space="preserve">AWS infrastructure total (priced items only)</t>
  </si>
  <si>
    <t xml:space="preserve">excludes UNPRICED items on Prices sheet</t>
  </si>
  <si>
    <t xml:space="preserve">-- Hostinger VPS (single server) --</t>
  </si>
  <si>
    <t xml:space="preserve">Hostinger plan used</t>
  </si>
  <si>
    <t xml:space="preserve">KVM 2</t>
  </si>
  <si>
    <t xml:space="preserve">KVM 4</t>
  </si>
  <si>
    <t xml:space="preserve">n/a</t>
  </si>
  <si>
    <t xml:space="preserve">KVM 2 for 100 users, KVM 4 for 1,000; not suitable above that</t>
  </si>
  <si>
    <t xml:space="preserve">Hostinger total (priced items only)</t>
  </si>
  <si>
    <t xml:space="preserve">compute, storage, bandwidth are included in the plan</t>
  </si>
  <si>
    <t xml:space="preserve">-- Totals --</t>
  </si>
  <si>
    <t xml:space="preserve">AWS + gpt-6-luna + embeddings</t>
  </si>
  <si>
    <t xml:space="preserve">AWS + gpt-6.1-sol + embeddings</t>
  </si>
  <si>
    <t xml:space="preserve">Hostinger + gpt-6-luna + embeddings</t>
  </si>
  <si>
    <t xml:space="preserve">n/a where one VPS is not enough</t>
  </si>
  <si>
    <t xml:space="preserve">Hostinger + gpt-6.1-sol + embeddings</t>
  </si>
  <si>
    <t xml:space="preserve">AWS + luna cost per registered user</t>
  </si>
  <si>
    <t xml:space="preserve">-- Open-source model on a GPU (instead of the paid LLM) --</t>
  </si>
  <si>
    <t xml:space="preserve">One g5.xlarge GPU server, 24/7</t>
  </si>
  <si>
    <t xml:space="preserve">hourly x hours; throughput NOT estimated, needs a benchmark</t>
  </si>
  <si>
    <t xml:space="preserve">Break-even: monthly LLM cost (luna) must exceed GPU cost. Asks needed</t>
  </si>
  <si>
    <t xml:space="preserve">GPU cost / luna cost per LLM-answered ask</t>
  </si>
  <si>
    <t xml:space="preserve">WHAT CHANGES AT EACH SCALE (bottlenecks and adjustments)</t>
  </si>
  <si>
    <t xml:space="preserve">100 users: one small server is enough. Bottleneck is the LLM call latency, not the server. Keep ingestion in a thread, but add a retry/sweeper for stuck documents.</t>
  </si>
  <si>
    <t xml:space="preserve">1,000 users: still one database node, but move to a durable job queue so uploads are not lost on restart; add an HNSW vector index; keep two app servers if uptime matters.</t>
  </si>
  <si>
    <t xml:space="preserve">10,000 users: at least two app servers behind a load balancer; managed Postgres with Multi-AZ; separate worker process for ingestion; cache repeated questions; set per-user rate limits at the edge.</t>
  </si>
  <si>
    <t xml:space="preserve">1,000,000 users: vector data no longer fits one database node; needs sharding by workspace or a dedicated vector store, read replicas, object storage with CDN, queue-based ingestion with autoscaled workers, provider rate-limit negotiation, and likely a self-hosted model or committed-use discount. Figures here are rough multiples, not a design.</t>
  </si>
  <si>
    <t xml:space="preserve">Token cost dominates at every scale: compare the 'LLM cost' rows with the infrastructure rows. Choice of model matters more than choice of server.</t>
  </si>
</sst>
</file>

<file path=xl/styles.xml><?xml version="1.0" encoding="utf-8"?>
<styleSheet xmlns="http://schemas.openxmlformats.org/spreadsheetml/2006/main">
  <numFmts count="9">
    <numFmt numFmtId="164" formatCode="General"/>
    <numFmt numFmtId="165" formatCode="#,##0.0"/>
    <numFmt numFmtId="166" formatCode="\$#,##0.00"/>
    <numFmt numFmtId="167" formatCode="#,##0"/>
    <numFmt numFmtId="168" formatCode="0.000"/>
    <numFmt numFmtId="169" formatCode="0.00"/>
    <numFmt numFmtId="170" formatCode="0.0"/>
    <numFmt numFmtId="171" formatCode="@"/>
    <numFmt numFmtId="172" formatCode="\$#,##0.00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99"/>
        <bgColor rgb="FFFFFFCC"/>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7" fontId="5" fillId="0" borderId="1" xfId="0" applyFont="true" applyBorder="true" applyAlignment="true" applyProtection="false">
      <alignment horizontal="right"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false" indent="0" shrinkToFit="false"/>
      <protection locked="true" hidden="false"/>
    </xf>
    <xf numFmtId="169" fontId="5" fillId="0" borderId="1" xfId="0" applyFont="true" applyBorder="true" applyAlignment="true" applyProtection="false">
      <alignment horizontal="right" vertical="bottom" textRotation="0" wrapText="false" indent="0" shrinkToFit="false"/>
      <protection locked="true" hidden="false"/>
    </xf>
    <xf numFmtId="170" fontId="5" fillId="0" borderId="1" xfId="0" applyFont="true" applyBorder="tru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71"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xf numFmtId="171" fontId="5" fillId="0"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72" fontId="5"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23.8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3.85" hidden="false" customHeight="false" outlineLevel="0" collapsed="false">
      <c r="A8" s="2"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12"/>
    <col collapsed="false" customWidth="true" hidden="false" outlineLevel="0" max="4" min="4" style="0" width="90"/>
  </cols>
  <sheetData>
    <row r="1" customFormat="false" ht="15" hidden="false" customHeight="false" outlineLevel="0" collapsed="false">
      <c r="A1" s="4" t="s">
        <v>9</v>
      </c>
    </row>
    <row r="3" customFormat="false" ht="15" hidden="false" customHeight="false" outlineLevel="0" collapsed="false">
      <c r="A3" s="5" t="s">
        <v>10</v>
      </c>
      <c r="B3" s="5" t="s">
        <v>11</v>
      </c>
      <c r="C3" s="5" t="s">
        <v>12</v>
      </c>
      <c r="D3" s="5" t="s">
        <v>13</v>
      </c>
    </row>
    <row r="4" customFormat="false" ht="15" hidden="false" customHeight="false" outlineLevel="0" collapsed="false">
      <c r="A4" s="6" t="s">
        <v>14</v>
      </c>
      <c r="B4" s="7" t="n">
        <v>730</v>
      </c>
      <c r="C4" s="6" t="s">
        <v>15</v>
      </c>
      <c r="D4" s="6" t="s">
        <v>16</v>
      </c>
    </row>
    <row r="5" customFormat="false" ht="15" hidden="false" customHeight="false" outlineLevel="0" collapsed="false">
      <c r="A5" s="6" t="s">
        <v>17</v>
      </c>
      <c r="B5" s="8" t="n">
        <v>0.3</v>
      </c>
      <c r="C5" s="6" t="s">
        <v>18</v>
      </c>
      <c r="D5" s="6" t="s">
        <v>19</v>
      </c>
    </row>
    <row r="6" customFormat="false" ht="15" hidden="false" customHeight="false" outlineLevel="0" collapsed="false">
      <c r="A6" s="6" t="s">
        <v>20</v>
      </c>
      <c r="B6" s="8" t="n">
        <v>60</v>
      </c>
      <c r="C6" s="6" t="s">
        <v>21</v>
      </c>
      <c r="D6" s="6" t="s">
        <v>22</v>
      </c>
    </row>
    <row r="7" customFormat="false" ht="15" hidden="false" customHeight="false" outlineLevel="0" collapsed="false">
      <c r="A7" s="6" t="s">
        <v>23</v>
      </c>
      <c r="B7" s="8" t="n">
        <v>1000</v>
      </c>
      <c r="C7" s="6" t="s">
        <v>24</v>
      </c>
      <c r="D7" s="6" t="s">
        <v>25</v>
      </c>
    </row>
    <row r="8" customFormat="false" ht="15" hidden="false" customHeight="false" outlineLevel="0" collapsed="false">
      <c r="A8" s="6" t="s">
        <v>26</v>
      </c>
      <c r="B8" s="8" t="n">
        <v>250</v>
      </c>
      <c r="C8" s="6" t="s">
        <v>24</v>
      </c>
      <c r="D8" s="6" t="s">
        <v>27</v>
      </c>
    </row>
    <row r="9" customFormat="false" ht="15" hidden="false" customHeight="false" outlineLevel="0" collapsed="false">
      <c r="A9" s="6" t="s">
        <v>28</v>
      </c>
      <c r="B9" s="8" t="n">
        <v>40</v>
      </c>
      <c r="C9" s="6" t="s">
        <v>24</v>
      </c>
      <c r="D9" s="6" t="s">
        <v>29</v>
      </c>
    </row>
    <row r="10" customFormat="false" ht="15" hidden="false" customHeight="false" outlineLevel="0" collapsed="false">
      <c r="A10" s="6" t="s">
        <v>30</v>
      </c>
      <c r="B10" s="8" t="n">
        <v>0.85</v>
      </c>
      <c r="C10" s="6" t="s">
        <v>18</v>
      </c>
      <c r="D10" s="6" t="s">
        <v>31</v>
      </c>
    </row>
    <row r="11" customFormat="false" ht="15" hidden="false" customHeight="false" outlineLevel="0" collapsed="false">
      <c r="A11" s="6" t="s">
        <v>32</v>
      </c>
      <c r="B11" s="8" t="n">
        <v>2</v>
      </c>
      <c r="C11" s="6" t="s">
        <v>33</v>
      </c>
      <c r="D11" s="6" t="s">
        <v>29</v>
      </c>
    </row>
    <row r="12" customFormat="false" ht="15" hidden="false" customHeight="false" outlineLevel="0" collapsed="false">
      <c r="A12" s="6" t="s">
        <v>34</v>
      </c>
      <c r="B12" s="8" t="n">
        <v>6000</v>
      </c>
      <c r="C12" s="6" t="s">
        <v>24</v>
      </c>
      <c r="D12" s="6" t="s">
        <v>35</v>
      </c>
    </row>
    <row r="13" customFormat="false" ht="15" hidden="false" customHeight="false" outlineLevel="0" collapsed="false">
      <c r="A13" s="6" t="s">
        <v>36</v>
      </c>
      <c r="B13" s="7" t="n">
        <v>1.125</v>
      </c>
      <c r="C13" s="6" t="s">
        <v>37</v>
      </c>
      <c r="D13" s="6" t="s">
        <v>38</v>
      </c>
    </row>
    <row r="14" customFormat="false" ht="15" hidden="false" customHeight="false" outlineLevel="0" collapsed="false">
      <c r="A14" s="6" t="s">
        <v>39</v>
      </c>
      <c r="B14" s="8" t="n">
        <v>1.5</v>
      </c>
      <c r="C14" s="6" t="s">
        <v>40</v>
      </c>
      <c r="D14" s="6" t="s">
        <v>41</v>
      </c>
    </row>
    <row r="15" customFormat="false" ht="15" hidden="false" customHeight="false" outlineLevel="0" collapsed="false">
      <c r="A15" s="6" t="s">
        <v>42</v>
      </c>
      <c r="B15" s="8" t="n">
        <v>0.5</v>
      </c>
      <c r="C15" s="6" t="s">
        <v>40</v>
      </c>
      <c r="D15" s="6" t="s">
        <v>43</v>
      </c>
    </row>
    <row r="16" customFormat="false" ht="15" hidden="false" customHeight="false" outlineLevel="0" collapsed="false">
      <c r="A16" s="6" t="s">
        <v>44</v>
      </c>
      <c r="B16" s="8" t="n">
        <v>8</v>
      </c>
      <c r="C16" s="6" t="s">
        <v>33</v>
      </c>
      <c r="D16" s="6" t="s">
        <v>29</v>
      </c>
    </row>
    <row r="17" customFormat="false" ht="15" hidden="false" customHeight="false" outlineLevel="0" collapsed="false">
      <c r="A17" s="6" t="s">
        <v>45</v>
      </c>
      <c r="B17" s="8" t="n">
        <v>8</v>
      </c>
      <c r="C17" s="6" t="s">
        <v>46</v>
      </c>
      <c r="D17" s="6" t="s">
        <v>47</v>
      </c>
    </row>
    <row r="18" customFormat="false" ht="15" hidden="false" customHeight="false" outlineLevel="0" collapsed="false">
      <c r="A18" s="6" t="s">
        <v>48</v>
      </c>
      <c r="B18" s="8" t="n">
        <v>10</v>
      </c>
      <c r="C18" s="6" t="s">
        <v>37</v>
      </c>
      <c r="D18" s="6" t="s">
        <v>49</v>
      </c>
    </row>
    <row r="19" customFormat="false" ht="15" hidden="false" customHeight="false" outlineLevel="0" collapsed="false">
      <c r="A19" s="6" t="s">
        <v>50</v>
      </c>
      <c r="B19" s="8" t="n">
        <v>4</v>
      </c>
      <c r="C19" s="6" t="s">
        <v>51</v>
      </c>
      <c r="D19" s="6" t="s">
        <v>52</v>
      </c>
    </row>
    <row r="20" customFormat="false" ht="15" hidden="false" customHeight="false" outlineLevel="0" collapsed="false">
      <c r="A20" s="6" t="s">
        <v>53</v>
      </c>
      <c r="B20" s="8" t="n">
        <v>8</v>
      </c>
      <c r="C20" s="6" t="s">
        <v>21</v>
      </c>
      <c r="D20" s="6" t="s">
        <v>54</v>
      </c>
    </row>
    <row r="21" customFormat="false" ht="15" hidden="false" customHeight="false" outlineLevel="0" collapsed="false">
      <c r="A21" s="6" t="s">
        <v>55</v>
      </c>
      <c r="B21" s="8" t="n">
        <v>1.5</v>
      </c>
      <c r="C21" s="6" t="s">
        <v>37</v>
      </c>
      <c r="D21" s="6" t="s">
        <v>56</v>
      </c>
    </row>
    <row r="22" customFormat="false" ht="15" hidden="false" customHeight="false" outlineLevel="0" collapsed="false">
      <c r="A22" s="6" t="s">
        <v>57</v>
      </c>
      <c r="B22" s="8" t="n">
        <v>300</v>
      </c>
      <c r="C22" s="6" t="s">
        <v>58</v>
      </c>
      <c r="D22" s="6" t="s">
        <v>59</v>
      </c>
    </row>
    <row r="23" customFormat="false" ht="15" hidden="false" customHeight="false" outlineLevel="0" collapsed="false">
      <c r="A23" s="6" t="s">
        <v>60</v>
      </c>
      <c r="B23" s="7" t="n">
        <v>2</v>
      </c>
      <c r="C23" s="6" t="s">
        <v>61</v>
      </c>
      <c r="D23" s="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8"/>
    <col collapsed="false" customWidth="true" hidden="false" outlineLevel="0" max="5" min="4" style="0" width="12"/>
    <col collapsed="false" customWidth="true" hidden="false" outlineLevel="0" max="6" min="6" style="0" width="38"/>
    <col collapsed="false" customWidth="true" hidden="false" outlineLevel="0" max="7" min="7" style="0" width="10"/>
    <col collapsed="false" customWidth="true" hidden="false" outlineLevel="0" max="9" min="8" style="0" width="12"/>
  </cols>
  <sheetData>
    <row r="1" customFormat="false" ht="15" hidden="false" customHeight="false" outlineLevel="0" collapsed="false">
      <c r="A1" s="4" t="s">
        <v>63</v>
      </c>
    </row>
    <row r="3" customFormat="false" ht="15" hidden="false" customHeight="false" outlineLevel="0" collapsed="false">
      <c r="A3" s="5" t="s">
        <v>64</v>
      </c>
      <c r="B3" s="5" t="s">
        <v>65</v>
      </c>
      <c r="C3" s="5" t="s">
        <v>66</v>
      </c>
      <c r="D3" s="5" t="s">
        <v>67</v>
      </c>
      <c r="E3" s="5" t="s">
        <v>68</v>
      </c>
      <c r="F3" s="5" t="s">
        <v>69</v>
      </c>
      <c r="G3" s="5" t="s">
        <v>66</v>
      </c>
      <c r="H3" s="5" t="s">
        <v>67</v>
      </c>
      <c r="I3" s="5" t="s">
        <v>68</v>
      </c>
    </row>
    <row r="4" customFormat="false" ht="15" hidden="false" customHeight="false" outlineLevel="0" collapsed="false">
      <c r="A4" s="6" t="s">
        <v>70</v>
      </c>
      <c r="B4" s="6" t="s">
        <v>71</v>
      </c>
      <c r="C4" s="9" t="n">
        <v>1</v>
      </c>
      <c r="D4" s="10" t="n">
        <f aca="false">Prices!$E$9</f>
        <v>14.99</v>
      </c>
      <c r="E4" s="11" t="n">
        <f aca="false">C4*D4</f>
        <v>14.99</v>
      </c>
      <c r="F4" s="6" t="s">
        <v>72</v>
      </c>
      <c r="G4" s="12" t="n">
        <f aca="false">Scaling!$B$10</f>
        <v>1</v>
      </c>
      <c r="H4" s="10" t="n">
        <f aca="false">Prices!$E$11*Assumptions!$B$4</f>
        <v>60.736</v>
      </c>
      <c r="I4" s="11" t="n">
        <f aca="false">G4*H4</f>
        <v>60.736</v>
      </c>
    </row>
    <row r="5" customFormat="false" ht="23.85" hidden="false" customHeight="false" outlineLevel="0" collapsed="false">
      <c r="A5" s="6" t="s">
        <v>73</v>
      </c>
      <c r="B5" s="6" t="s">
        <v>74</v>
      </c>
      <c r="C5" s="9" t="n">
        <v>0</v>
      </c>
      <c r="D5" s="13" t="n">
        <v>0</v>
      </c>
      <c r="E5" s="11" t="n">
        <f aca="false">C5*D5</f>
        <v>0</v>
      </c>
      <c r="F5" s="6" t="s">
        <v>75</v>
      </c>
      <c r="G5" s="9" t="n">
        <v>1</v>
      </c>
      <c r="H5" s="10" t="n">
        <f aca="false">Prices!$E$13*Assumptions!$B$4</f>
        <v>52.56</v>
      </c>
      <c r="I5" s="11" t="n">
        <f aca="false">G5*H5</f>
        <v>52.56</v>
      </c>
    </row>
    <row r="6" customFormat="false" ht="15" hidden="false" customHeight="false" outlineLevel="0" collapsed="false">
      <c r="A6" s="6" t="s">
        <v>76</v>
      </c>
      <c r="B6" s="6" t="s">
        <v>77</v>
      </c>
      <c r="C6" s="9" t="n">
        <v>0</v>
      </c>
      <c r="D6" s="13" t="n">
        <v>0</v>
      </c>
      <c r="E6" s="11" t="n">
        <f aca="false">C6*D6</f>
        <v>0</v>
      </c>
      <c r="F6" s="6" t="s">
        <v>78</v>
      </c>
      <c r="G6" s="12" t="n">
        <f aca="false">Scaling!$B$12</f>
        <v>0.390625</v>
      </c>
      <c r="H6" s="10" t="n">
        <f aca="false">Prices!$E$15</f>
        <v>0.115</v>
      </c>
      <c r="I6" s="11" t="n">
        <f aca="false">G6*H6</f>
        <v>0.044921875</v>
      </c>
    </row>
    <row r="7" customFormat="false" ht="15" hidden="false" customHeight="false" outlineLevel="0" collapsed="false">
      <c r="A7" s="6" t="s">
        <v>79</v>
      </c>
      <c r="B7" s="6" t="s">
        <v>80</v>
      </c>
      <c r="C7" s="9" t="n">
        <v>0</v>
      </c>
      <c r="D7" s="13" t="n">
        <v>0</v>
      </c>
      <c r="E7" s="11" t="n">
        <f aca="false">C7*D7</f>
        <v>0</v>
      </c>
      <c r="F7" s="6" t="s">
        <v>81</v>
      </c>
      <c r="G7" s="12" t="n">
        <f aca="false">Scaling!$B$11</f>
        <v>1.171875</v>
      </c>
      <c r="H7" s="10" t="n">
        <f aca="false">Prices!$E$17</f>
        <v>0.023</v>
      </c>
      <c r="I7" s="11" t="n">
        <f aca="false">G7*H7</f>
        <v>0.026953125</v>
      </c>
    </row>
    <row r="8" customFormat="false" ht="15" hidden="false" customHeight="false" outlineLevel="0" collapsed="false">
      <c r="A8" s="6" t="s">
        <v>82</v>
      </c>
      <c r="B8" s="14" t="s">
        <v>83</v>
      </c>
      <c r="C8" s="9" t="n">
        <v>0</v>
      </c>
      <c r="D8" s="13" t="n">
        <v>0</v>
      </c>
      <c r="E8" s="11" t="n">
        <f aca="false">C8*D8</f>
        <v>0</v>
      </c>
      <c r="F8" s="6" t="s">
        <v>84</v>
      </c>
      <c r="G8" s="12" t="n">
        <f aca="false">MAX(0,Scaling!$B$12*(Assumptions!$B$21-1))</f>
        <v>0.1953125</v>
      </c>
      <c r="H8" s="10" t="n">
        <f aca="false">Prices!$E$16</f>
        <v>0.095</v>
      </c>
      <c r="I8" s="11" t="n">
        <f aca="false">G8*H8</f>
        <v>0.0185546875</v>
      </c>
    </row>
    <row r="9" customFormat="false" ht="15" hidden="false" customHeight="false" outlineLevel="0" collapsed="false">
      <c r="A9" s="6" t="s">
        <v>85</v>
      </c>
      <c r="B9" s="6" t="s">
        <v>86</v>
      </c>
      <c r="C9" s="9" t="n">
        <v>0</v>
      </c>
      <c r="D9" s="13" t="n">
        <v>0</v>
      </c>
      <c r="E9" s="11" t="n">
        <f aca="false">C9*D9</f>
        <v>0</v>
      </c>
      <c r="F9" s="6" t="s">
        <v>87</v>
      </c>
      <c r="G9" s="12" t="n">
        <f aca="false">MAX(0,Scaling!$B$17-Prices!$E$21)</f>
        <v>0</v>
      </c>
      <c r="H9" s="10" t="n">
        <f aca="false">Prices!$E$20</f>
        <v>0.09</v>
      </c>
      <c r="I9" s="11" t="n">
        <f aca="false">G9*H9</f>
        <v>0</v>
      </c>
    </row>
    <row r="10" customFormat="false" ht="23.85" hidden="false" customHeight="false" outlineLevel="0" collapsed="false">
      <c r="A10" s="6" t="s">
        <v>88</v>
      </c>
      <c r="B10" s="14" t="s">
        <v>89</v>
      </c>
      <c r="C10" s="9" t="n">
        <v>0</v>
      </c>
      <c r="D10" s="13" t="n">
        <v>0</v>
      </c>
      <c r="E10" s="11" t="n">
        <f aca="false">C10*D10</f>
        <v>0</v>
      </c>
      <c r="F10" s="14" t="s">
        <v>90</v>
      </c>
      <c r="G10" s="9" t="n">
        <v>0</v>
      </c>
      <c r="H10" s="13" t="n">
        <v>0</v>
      </c>
      <c r="I10" s="11" t="n">
        <f aca="false">G10*H10</f>
        <v>0</v>
      </c>
    </row>
    <row r="11" customFormat="false" ht="23.85" hidden="false" customHeight="false" outlineLevel="0" collapsed="false">
      <c r="A11" s="6" t="s">
        <v>91</v>
      </c>
      <c r="B11" s="6" t="s">
        <v>92</v>
      </c>
      <c r="C11" s="9" t="n">
        <v>0</v>
      </c>
      <c r="D11" s="13" t="n">
        <v>0</v>
      </c>
      <c r="E11" s="11" t="n">
        <f aca="false">C11*D11</f>
        <v>0</v>
      </c>
      <c r="F11" s="14" t="s">
        <v>93</v>
      </c>
      <c r="G11" s="9" t="n">
        <v>0</v>
      </c>
      <c r="H11" s="13" t="n">
        <v>0</v>
      </c>
      <c r="I11" s="11" t="n">
        <f aca="false">G11*H11</f>
        <v>0</v>
      </c>
    </row>
    <row r="12" customFormat="false" ht="15" hidden="false" customHeight="false" outlineLevel="0" collapsed="false">
      <c r="A12" s="6" t="s">
        <v>94</v>
      </c>
      <c r="B12" s="14" t="s">
        <v>95</v>
      </c>
      <c r="C12" s="9" t="n">
        <v>0</v>
      </c>
      <c r="D12" s="13" t="n">
        <v>0</v>
      </c>
      <c r="E12" s="11" t="n">
        <f aca="false">C12*D12</f>
        <v>0</v>
      </c>
      <c r="F12" s="14" t="s">
        <v>96</v>
      </c>
      <c r="G12" s="9" t="n">
        <v>0</v>
      </c>
      <c r="H12" s="13" t="n">
        <v>0</v>
      </c>
      <c r="I12" s="11" t="n">
        <f aca="false">G12*H12</f>
        <v>0</v>
      </c>
    </row>
    <row r="13" customFormat="false" ht="15" hidden="false" customHeight="false" outlineLevel="0" collapsed="false">
      <c r="A13" s="6" t="s">
        <v>97</v>
      </c>
      <c r="B13" s="6" t="s">
        <v>98</v>
      </c>
      <c r="C13" s="9" t="n">
        <v>1</v>
      </c>
      <c r="D13" s="10" t="n">
        <f aca="false">Scaling!$B$19</f>
        <v>0.00954</v>
      </c>
      <c r="E13" s="11" t="n">
        <f aca="false">C13*D13</f>
        <v>0.00954</v>
      </c>
      <c r="F13" s="6" t="s">
        <v>98</v>
      </c>
      <c r="G13" s="9" t="n">
        <v>1</v>
      </c>
      <c r="H13" s="10" t="n">
        <f aca="false">Scaling!$B$19</f>
        <v>0.00954</v>
      </c>
      <c r="I13" s="11" t="n">
        <f aca="false">G13*H13</f>
        <v>0.00954</v>
      </c>
    </row>
    <row r="14" customFormat="false" ht="15" hidden="false" customHeight="false" outlineLevel="0" collapsed="false">
      <c r="A14" s="6" t="s">
        <v>99</v>
      </c>
      <c r="B14" s="6" t="s">
        <v>100</v>
      </c>
      <c r="C14" s="9" t="n">
        <v>1</v>
      </c>
      <c r="D14" s="10" t="n">
        <f aca="false">Scaling!$B$20</f>
        <v>0.34425</v>
      </c>
      <c r="E14" s="11" t="n">
        <f aca="false">C14*D14</f>
        <v>0.34425</v>
      </c>
      <c r="F14" s="6" t="s">
        <v>100</v>
      </c>
      <c r="G14" s="9" t="n">
        <v>1</v>
      </c>
      <c r="H14" s="10" t="n">
        <f aca="false">Scaling!$B$20</f>
        <v>0.34425</v>
      </c>
      <c r="I14" s="11" t="n">
        <f aca="false">G14*H14</f>
        <v>0.34425</v>
      </c>
    </row>
    <row r="15" customFormat="false" ht="15" hidden="false" customHeight="false" outlineLevel="0" collapsed="false">
      <c r="A15" s="15" t="s">
        <v>101</v>
      </c>
      <c r="E15" s="16" t="n">
        <f aca="false">SUM(E4:E14)</f>
        <v>15.34379</v>
      </c>
      <c r="I15" s="16" t="n">
        <f aca="false">SUM(I4:I14)</f>
        <v>113.7402196875</v>
      </c>
    </row>
    <row r="16" customFormat="false" ht="15" hidden="false" customHeight="false" outlineLevel="0" collapsed="false">
      <c r="A16" s="15" t="s">
        <v>102</v>
      </c>
      <c r="E16" s="16" t="n">
        <f aca="false">SUM(E4:E12)</f>
        <v>14.99</v>
      </c>
      <c r="I16" s="16" t="n">
        <f aca="false">SUM(I4:I12)</f>
        <v>113.3864296875</v>
      </c>
    </row>
    <row r="18" customFormat="false" ht="48" hidden="false" customHeight="true" outlineLevel="0" collapsed="false">
      <c r="A18" s="17" t="s">
        <v>103</v>
      </c>
      <c r="B18" s="17"/>
      <c r="C18" s="17"/>
      <c r="D18" s="17"/>
      <c r="E18" s="17"/>
      <c r="F18" s="17"/>
      <c r="G18" s="17"/>
      <c r="H18" s="17"/>
      <c r="I18" s="17"/>
    </row>
  </sheetData>
  <mergeCells count="1">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52"/>
    <col collapsed="false" customWidth="true" hidden="false" outlineLevel="0" max="4" min="4" style="0" width="16"/>
    <col collapsed="false" customWidth="true" hidden="false" outlineLevel="0" max="6" min="5" style="0" width="12"/>
    <col collapsed="false" customWidth="true" hidden="false" outlineLevel="0" max="7" min="7" style="0" width="22"/>
    <col collapsed="false" customWidth="true" hidden="false" outlineLevel="0" max="8" min="8" style="0" width="60"/>
    <col collapsed="false" customWidth="true" hidden="false" outlineLevel="0" max="9" min="9" style="0" width="48"/>
    <col collapsed="false" customWidth="true" hidden="false" outlineLevel="0" max="10" min="10" style="0" width="13"/>
    <col collapsed="false" customWidth="true" hidden="false" outlineLevel="0" max="11" min="11" style="0" width="60"/>
  </cols>
  <sheetData>
    <row r="1" customFormat="false" ht="15" hidden="false" customHeight="false" outlineLevel="0" collapsed="false">
      <c r="A1" s="4" t="s">
        <v>104</v>
      </c>
    </row>
    <row r="3" customFormat="false" ht="23.85" hidden="false" customHeight="false" outlineLevel="0" collapsed="false">
      <c r="A3" s="5" t="s">
        <v>105</v>
      </c>
      <c r="B3" s="5" t="s">
        <v>106</v>
      </c>
      <c r="C3" s="5" t="s">
        <v>107</v>
      </c>
      <c r="D3" s="5" t="s">
        <v>12</v>
      </c>
      <c r="E3" s="5" t="s">
        <v>108</v>
      </c>
      <c r="F3" s="5" t="s">
        <v>109</v>
      </c>
      <c r="G3" s="5" t="s">
        <v>110</v>
      </c>
      <c r="H3" s="5" t="s">
        <v>111</v>
      </c>
      <c r="I3" s="5" t="s">
        <v>112</v>
      </c>
      <c r="J3" s="5" t="s">
        <v>113</v>
      </c>
      <c r="K3" s="5" t="s">
        <v>114</v>
      </c>
    </row>
    <row r="4" customFormat="false" ht="15" hidden="false" customHeight="false" outlineLevel="0" collapsed="false">
      <c r="A4" s="6" t="s">
        <v>115</v>
      </c>
      <c r="B4" s="6" t="s">
        <v>116</v>
      </c>
      <c r="C4" s="6" t="s">
        <v>117</v>
      </c>
      <c r="D4" s="6" t="s">
        <v>118</v>
      </c>
      <c r="E4" s="7" t="n">
        <v>0.1</v>
      </c>
      <c r="F4" s="6" t="s">
        <v>119</v>
      </c>
      <c r="G4" s="6" t="s">
        <v>120</v>
      </c>
      <c r="H4" s="6" t="s">
        <v>121</v>
      </c>
      <c r="I4" s="6" t="s">
        <v>121</v>
      </c>
      <c r="J4" s="6" t="s">
        <v>122</v>
      </c>
      <c r="K4" s="6" t="s">
        <v>123</v>
      </c>
    </row>
    <row r="5" customFormat="false" ht="15" hidden="false" customHeight="false" outlineLevel="0" collapsed="false">
      <c r="A5" s="6" t="s">
        <v>124</v>
      </c>
      <c r="B5" s="6" t="s">
        <v>116</v>
      </c>
      <c r="C5" s="6" t="s">
        <v>125</v>
      </c>
      <c r="D5" s="6" t="s">
        <v>118</v>
      </c>
      <c r="E5" s="7" t="n">
        <v>0.5</v>
      </c>
      <c r="F5" s="6" t="s">
        <v>119</v>
      </c>
      <c r="G5" s="6" t="s">
        <v>120</v>
      </c>
      <c r="H5" s="6" t="s">
        <v>121</v>
      </c>
      <c r="I5" s="6" t="s">
        <v>121</v>
      </c>
      <c r="J5" s="6" t="s">
        <v>122</v>
      </c>
      <c r="K5" s="6"/>
    </row>
    <row r="6" customFormat="false" ht="15" hidden="false" customHeight="false" outlineLevel="0" collapsed="false">
      <c r="A6" s="6" t="s">
        <v>126</v>
      </c>
      <c r="B6" s="6" t="s">
        <v>116</v>
      </c>
      <c r="C6" s="6" t="s">
        <v>127</v>
      </c>
      <c r="D6" s="6" t="s">
        <v>118</v>
      </c>
      <c r="E6" s="7" t="n">
        <v>2</v>
      </c>
      <c r="F6" s="6" t="s">
        <v>119</v>
      </c>
      <c r="G6" s="6" t="s">
        <v>120</v>
      </c>
      <c r="H6" s="6" t="s">
        <v>121</v>
      </c>
      <c r="I6" s="6" t="s">
        <v>121</v>
      </c>
      <c r="J6" s="6" t="s">
        <v>122</v>
      </c>
      <c r="K6" s="6" t="s">
        <v>128</v>
      </c>
    </row>
    <row r="7" customFormat="false" ht="15" hidden="false" customHeight="false" outlineLevel="0" collapsed="false">
      <c r="A7" s="6" t="s">
        <v>129</v>
      </c>
      <c r="B7" s="6" t="s">
        <v>116</v>
      </c>
      <c r="C7" s="6" t="s">
        <v>130</v>
      </c>
      <c r="D7" s="6" t="s">
        <v>118</v>
      </c>
      <c r="E7" s="7" t="n">
        <v>10</v>
      </c>
      <c r="F7" s="6" t="s">
        <v>119</v>
      </c>
      <c r="G7" s="6" t="s">
        <v>120</v>
      </c>
      <c r="H7" s="6" t="s">
        <v>121</v>
      </c>
      <c r="I7" s="6" t="s">
        <v>121</v>
      </c>
      <c r="J7" s="6" t="s">
        <v>122</v>
      </c>
      <c r="K7" s="6"/>
    </row>
    <row r="8" customFormat="false" ht="23.85" hidden="false" customHeight="false" outlineLevel="0" collapsed="false">
      <c r="A8" s="6" t="s">
        <v>131</v>
      </c>
      <c r="B8" s="6" t="s">
        <v>116</v>
      </c>
      <c r="C8" s="6" t="s">
        <v>132</v>
      </c>
      <c r="D8" s="6" t="s">
        <v>118</v>
      </c>
      <c r="E8" s="7" t="n">
        <v>0.02</v>
      </c>
      <c r="F8" s="6" t="s">
        <v>119</v>
      </c>
      <c r="G8" s="6" t="s">
        <v>133</v>
      </c>
      <c r="H8" s="6" t="s">
        <v>134</v>
      </c>
      <c r="I8" s="6" t="s">
        <v>121</v>
      </c>
      <c r="J8" s="6" t="s">
        <v>122</v>
      </c>
      <c r="K8" s="6" t="s">
        <v>135</v>
      </c>
    </row>
    <row r="9" customFormat="false" ht="23.85" hidden="false" customHeight="false" outlineLevel="0" collapsed="false">
      <c r="A9" s="6" t="s">
        <v>136</v>
      </c>
      <c r="B9" s="6" t="s">
        <v>137</v>
      </c>
      <c r="C9" s="6" t="s">
        <v>138</v>
      </c>
      <c r="D9" s="6" t="s">
        <v>139</v>
      </c>
      <c r="E9" s="7" t="n">
        <v>14.99</v>
      </c>
      <c r="F9" s="6" t="s">
        <v>140</v>
      </c>
      <c r="G9" s="6" t="s">
        <v>141</v>
      </c>
      <c r="H9" s="6" t="s">
        <v>142</v>
      </c>
      <c r="I9" s="6" t="s">
        <v>143</v>
      </c>
      <c r="J9" s="6" t="s">
        <v>122</v>
      </c>
      <c r="K9" s="6" t="s">
        <v>144</v>
      </c>
    </row>
    <row r="10" customFormat="false" ht="23.85" hidden="false" customHeight="false" outlineLevel="0" collapsed="false">
      <c r="A10" s="6" t="s">
        <v>145</v>
      </c>
      <c r="B10" s="6" t="s">
        <v>137</v>
      </c>
      <c r="C10" s="6" t="s">
        <v>146</v>
      </c>
      <c r="D10" s="6" t="s">
        <v>139</v>
      </c>
      <c r="E10" s="7" t="n">
        <v>28.99</v>
      </c>
      <c r="F10" s="6" t="s">
        <v>140</v>
      </c>
      <c r="G10" s="6" t="s">
        <v>141</v>
      </c>
      <c r="H10" s="6" t="s">
        <v>142</v>
      </c>
      <c r="I10" s="6" t="s">
        <v>143</v>
      </c>
      <c r="J10" s="6" t="s">
        <v>122</v>
      </c>
      <c r="K10" s="6" t="s">
        <v>147</v>
      </c>
    </row>
    <row r="11" customFormat="false" ht="15" hidden="false" customHeight="false" outlineLevel="0" collapsed="false">
      <c r="A11" s="6" t="s">
        <v>148</v>
      </c>
      <c r="B11" s="6" t="s">
        <v>149</v>
      </c>
      <c r="C11" s="6" t="s">
        <v>150</v>
      </c>
      <c r="D11" s="6" t="s">
        <v>151</v>
      </c>
      <c r="E11" s="7" t="n">
        <v>0.0832</v>
      </c>
      <c r="F11" s="6" t="s">
        <v>152</v>
      </c>
      <c r="G11" s="6" t="s">
        <v>133</v>
      </c>
      <c r="H11" s="6" t="s">
        <v>153</v>
      </c>
      <c r="I11" s="6" t="s">
        <v>154</v>
      </c>
      <c r="J11" s="6" t="s">
        <v>122</v>
      </c>
      <c r="K11" s="6" t="s">
        <v>155</v>
      </c>
    </row>
    <row r="12" customFormat="false" ht="15" hidden="false" customHeight="false" outlineLevel="0" collapsed="false">
      <c r="A12" s="6" t="s">
        <v>156</v>
      </c>
      <c r="B12" s="6" t="s">
        <v>149</v>
      </c>
      <c r="C12" s="6" t="s">
        <v>157</v>
      </c>
      <c r="D12" s="6" t="s">
        <v>151</v>
      </c>
      <c r="E12" s="7" t="n">
        <v>1.006</v>
      </c>
      <c r="F12" s="6" t="s">
        <v>152</v>
      </c>
      <c r="G12" s="6" t="s">
        <v>133</v>
      </c>
      <c r="H12" s="6" t="s">
        <v>158</v>
      </c>
      <c r="I12" s="6" t="s">
        <v>154</v>
      </c>
      <c r="J12" s="6" t="s">
        <v>122</v>
      </c>
      <c r="K12" s="6" t="s">
        <v>159</v>
      </c>
    </row>
    <row r="13" customFormat="false" ht="23.85" hidden="false" customHeight="false" outlineLevel="0" collapsed="false">
      <c r="A13" s="6" t="s">
        <v>160</v>
      </c>
      <c r="B13" s="6" t="s">
        <v>149</v>
      </c>
      <c r="C13" s="6" t="s">
        <v>161</v>
      </c>
      <c r="D13" s="6" t="s">
        <v>151</v>
      </c>
      <c r="E13" s="7" t="n">
        <v>0.072</v>
      </c>
      <c r="F13" s="6" t="s">
        <v>152</v>
      </c>
      <c r="G13" s="6" t="s">
        <v>133</v>
      </c>
      <c r="H13" s="6" t="s">
        <v>162</v>
      </c>
      <c r="I13" s="6" t="s">
        <v>163</v>
      </c>
      <c r="J13" s="6" t="s">
        <v>122</v>
      </c>
      <c r="K13" s="6" t="s">
        <v>164</v>
      </c>
    </row>
    <row r="14" customFormat="false" ht="23.85" hidden="false" customHeight="false" outlineLevel="0" collapsed="false">
      <c r="A14" s="6" t="s">
        <v>165</v>
      </c>
      <c r="B14" s="6" t="s">
        <v>149</v>
      </c>
      <c r="C14" s="6" t="s">
        <v>166</v>
      </c>
      <c r="D14" s="6" t="s">
        <v>151</v>
      </c>
      <c r="E14" s="7" t="n">
        <v>0.45</v>
      </c>
      <c r="F14" s="6" t="s">
        <v>152</v>
      </c>
      <c r="G14" s="6" t="s">
        <v>167</v>
      </c>
      <c r="H14" s="6" t="s">
        <v>168</v>
      </c>
      <c r="I14" s="6" t="s">
        <v>163</v>
      </c>
      <c r="J14" s="6" t="s">
        <v>122</v>
      </c>
      <c r="K14" s="6" t="s">
        <v>169</v>
      </c>
    </row>
    <row r="15" customFormat="false" ht="15" hidden="false" customHeight="false" outlineLevel="0" collapsed="false">
      <c r="A15" s="6" t="s">
        <v>170</v>
      </c>
      <c r="B15" s="6" t="s">
        <v>149</v>
      </c>
      <c r="C15" s="6" t="s">
        <v>171</v>
      </c>
      <c r="D15" s="6" t="s">
        <v>172</v>
      </c>
      <c r="E15" s="7" t="n">
        <v>0.115</v>
      </c>
      <c r="F15" s="6" t="s">
        <v>152</v>
      </c>
      <c r="G15" s="6" t="s">
        <v>133</v>
      </c>
      <c r="H15" s="6" t="s">
        <v>173</v>
      </c>
      <c r="I15" s="6" t="s">
        <v>163</v>
      </c>
      <c r="J15" s="6" t="s">
        <v>122</v>
      </c>
      <c r="K15" s="6" t="s">
        <v>174</v>
      </c>
    </row>
    <row r="16" customFormat="false" ht="15" hidden="false" customHeight="false" outlineLevel="0" collapsed="false">
      <c r="A16" s="6" t="s">
        <v>175</v>
      </c>
      <c r="B16" s="6" t="s">
        <v>149</v>
      </c>
      <c r="C16" s="6" t="s">
        <v>176</v>
      </c>
      <c r="D16" s="6" t="s">
        <v>172</v>
      </c>
      <c r="E16" s="7" t="n">
        <v>0.095</v>
      </c>
      <c r="F16" s="6" t="s">
        <v>152</v>
      </c>
      <c r="G16" s="6" t="s">
        <v>177</v>
      </c>
      <c r="H16" s="6" t="s">
        <v>168</v>
      </c>
      <c r="I16" s="6" t="s">
        <v>163</v>
      </c>
      <c r="J16" s="6" t="s">
        <v>122</v>
      </c>
      <c r="K16" s="6" t="s">
        <v>178</v>
      </c>
    </row>
    <row r="17" customFormat="false" ht="15" hidden="false" customHeight="false" outlineLevel="0" collapsed="false">
      <c r="A17" s="6" t="s">
        <v>179</v>
      </c>
      <c r="B17" s="6" t="s">
        <v>149</v>
      </c>
      <c r="C17" s="6" t="s">
        <v>180</v>
      </c>
      <c r="D17" s="6" t="s">
        <v>172</v>
      </c>
      <c r="E17" s="7" t="n">
        <v>0.023</v>
      </c>
      <c r="F17" s="6" t="s">
        <v>152</v>
      </c>
      <c r="G17" s="6" t="s">
        <v>133</v>
      </c>
      <c r="H17" s="6" t="s">
        <v>181</v>
      </c>
      <c r="I17" s="6" t="s">
        <v>182</v>
      </c>
      <c r="J17" s="6" t="s">
        <v>122</v>
      </c>
      <c r="K17" s="6"/>
    </row>
    <row r="18" customFormat="false" ht="15" hidden="false" customHeight="false" outlineLevel="0" collapsed="false">
      <c r="A18" s="6" t="s">
        <v>183</v>
      </c>
      <c r="B18" s="6" t="s">
        <v>149</v>
      </c>
      <c r="C18" s="6" t="s">
        <v>184</v>
      </c>
      <c r="D18" s="6" t="s">
        <v>185</v>
      </c>
      <c r="E18" s="7" t="n">
        <v>0.005</v>
      </c>
      <c r="F18" s="6" t="s">
        <v>152</v>
      </c>
      <c r="G18" s="6" t="s">
        <v>133</v>
      </c>
      <c r="H18" s="6" t="s">
        <v>181</v>
      </c>
      <c r="I18" s="6" t="s">
        <v>182</v>
      </c>
      <c r="J18" s="6" t="s">
        <v>122</v>
      </c>
      <c r="K18" s="6"/>
    </row>
    <row r="19" customFormat="false" ht="15" hidden="false" customHeight="false" outlineLevel="0" collapsed="false">
      <c r="A19" s="6" t="s">
        <v>186</v>
      </c>
      <c r="B19" s="6" t="s">
        <v>149</v>
      </c>
      <c r="C19" s="6" t="s">
        <v>187</v>
      </c>
      <c r="D19" s="6" t="s">
        <v>185</v>
      </c>
      <c r="E19" s="7" t="n">
        <v>0.0004</v>
      </c>
      <c r="F19" s="6" t="s">
        <v>152</v>
      </c>
      <c r="G19" s="6" t="s">
        <v>133</v>
      </c>
      <c r="H19" s="6" t="s">
        <v>181</v>
      </c>
      <c r="I19" s="6" t="s">
        <v>182</v>
      </c>
      <c r="J19" s="6" t="s">
        <v>122</v>
      </c>
      <c r="K19" s="6"/>
    </row>
    <row r="20" customFormat="false" ht="15" hidden="false" customHeight="false" outlineLevel="0" collapsed="false">
      <c r="A20" s="6" t="s">
        <v>188</v>
      </c>
      <c r="B20" s="6" t="s">
        <v>149</v>
      </c>
      <c r="C20" s="6" t="s">
        <v>189</v>
      </c>
      <c r="D20" s="6" t="s">
        <v>190</v>
      </c>
      <c r="E20" s="7" t="n">
        <v>0.09</v>
      </c>
      <c r="F20" s="6" t="s">
        <v>152</v>
      </c>
      <c r="G20" s="6" t="s">
        <v>133</v>
      </c>
      <c r="H20" s="6" t="s">
        <v>181</v>
      </c>
      <c r="I20" s="6" t="s">
        <v>182</v>
      </c>
      <c r="J20" s="6" t="s">
        <v>122</v>
      </c>
      <c r="K20" s="6"/>
    </row>
    <row r="21" customFormat="false" ht="15" hidden="false" customHeight="false" outlineLevel="0" collapsed="false">
      <c r="A21" s="6" t="s">
        <v>191</v>
      </c>
      <c r="B21" s="6" t="s">
        <v>149</v>
      </c>
      <c r="C21" s="6" t="s">
        <v>192</v>
      </c>
      <c r="D21" s="6" t="s">
        <v>58</v>
      </c>
      <c r="E21" s="7" t="n">
        <v>100</v>
      </c>
      <c r="F21" s="6" t="s">
        <v>152</v>
      </c>
      <c r="G21" s="6" t="s">
        <v>133</v>
      </c>
      <c r="H21" s="6" t="s">
        <v>181</v>
      </c>
      <c r="I21" s="6" t="s">
        <v>182</v>
      </c>
      <c r="J21" s="6" t="s">
        <v>122</v>
      </c>
      <c r="K21" s="6"/>
    </row>
    <row r="23" customFormat="false" ht="15" hidden="false" customHeight="false" outlineLevel="0" collapsed="false">
      <c r="A23" s="15" t="s">
        <v>193</v>
      </c>
    </row>
    <row r="24" customFormat="false" ht="15" hidden="false" customHeight="false" outlineLevel="0" collapsed="false">
      <c r="A24" s="18" t="s">
        <v>194</v>
      </c>
    </row>
    <row r="25" customFormat="false" ht="15" hidden="false" customHeight="false" outlineLevel="0" collapsed="false">
      <c r="A25" s="18" t="s">
        <v>195</v>
      </c>
    </row>
    <row r="26" customFormat="false" ht="15" hidden="false" customHeight="false" outlineLevel="0" collapsed="false">
      <c r="A26" s="18" t="s">
        <v>196</v>
      </c>
    </row>
    <row r="27" customFormat="false" ht="15" hidden="false" customHeight="false" outlineLevel="0" collapsed="false">
      <c r="A27" s="18" t="s">
        <v>197</v>
      </c>
    </row>
    <row r="28" customFormat="false" ht="15" hidden="false" customHeight="false" outlineLevel="0" collapsed="false">
      <c r="A28" s="18" t="s">
        <v>198</v>
      </c>
    </row>
    <row r="29" customFormat="false" ht="15" hidden="false" customHeight="false" outlineLevel="0" collapsed="false">
      <c r="A29" s="18"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6"/>
    <col collapsed="false" customWidth="true" hidden="false" outlineLevel="0" max="5" min="5" style="0" width="18"/>
    <col collapsed="false" customWidth="true" hidden="false" outlineLevel="0" max="6" min="6" style="0" width="70"/>
  </cols>
  <sheetData>
    <row r="1" customFormat="false" ht="15" hidden="false" customHeight="false" outlineLevel="0" collapsed="false">
      <c r="A1" s="4" t="s">
        <v>200</v>
      </c>
    </row>
    <row r="3" customFormat="false" ht="15" hidden="false" customHeight="false" outlineLevel="0" collapsed="false">
      <c r="A3" s="5" t="s">
        <v>201</v>
      </c>
      <c r="B3" s="5" t="s">
        <v>202</v>
      </c>
      <c r="C3" s="5" t="s">
        <v>203</v>
      </c>
      <c r="D3" s="5" t="s">
        <v>204</v>
      </c>
      <c r="E3" s="5" t="s">
        <v>205</v>
      </c>
      <c r="F3" s="5" t="s">
        <v>206</v>
      </c>
    </row>
    <row r="4" customFormat="false" ht="15" hidden="false" customHeight="false" outlineLevel="0" collapsed="false">
      <c r="A4" s="6" t="s">
        <v>207</v>
      </c>
      <c r="B4" s="19" t="n">
        <v>100</v>
      </c>
      <c r="C4" s="19" t="n">
        <v>1000</v>
      </c>
      <c r="D4" s="19" t="n">
        <v>10000</v>
      </c>
      <c r="E4" s="19" t="n">
        <v>1000000</v>
      </c>
      <c r="F4" s="6" t="s">
        <v>208</v>
      </c>
    </row>
    <row r="5" customFormat="false" ht="15" hidden="false" customHeight="false" outlineLevel="0" collapsed="false">
      <c r="A5" s="6" t="s">
        <v>209</v>
      </c>
      <c r="B5" s="20" t="n">
        <f aca="false">B4*Assumptions!$B$5</f>
        <v>30</v>
      </c>
      <c r="C5" s="20" t="n">
        <f aca="false">C4*Assumptions!$B$5</f>
        <v>300</v>
      </c>
      <c r="D5" s="20" t="n">
        <f aca="false">D4*Assumptions!$B$5</f>
        <v>3000</v>
      </c>
      <c r="E5" s="20" t="n">
        <f aca="false">E4*Assumptions!$B$5</f>
        <v>300000</v>
      </c>
      <c r="F5" s="6" t="s">
        <v>210</v>
      </c>
    </row>
    <row r="6" customFormat="false" ht="15" hidden="false" customHeight="false" outlineLevel="0" collapsed="false">
      <c r="A6" s="6" t="s">
        <v>211</v>
      </c>
      <c r="B6" s="20" t="n">
        <f aca="false">B5*Assumptions!$B$6</f>
        <v>1800</v>
      </c>
      <c r="C6" s="20" t="n">
        <f aca="false">C5*Assumptions!$B$6</f>
        <v>18000</v>
      </c>
      <c r="D6" s="20" t="n">
        <f aca="false">D5*Assumptions!$B$6</f>
        <v>180000</v>
      </c>
      <c r="E6" s="20" t="n">
        <f aca="false">E5*Assumptions!$B$6</f>
        <v>18000000</v>
      </c>
      <c r="F6" s="6" t="s">
        <v>212</v>
      </c>
    </row>
    <row r="7" customFormat="false" ht="15" hidden="false" customHeight="false" outlineLevel="0" collapsed="false">
      <c r="A7" s="6" t="s">
        <v>213</v>
      </c>
      <c r="B7" s="21" t="n">
        <f aca="false">B6/(30*24*3600)</f>
        <v>0.000694444444444445</v>
      </c>
      <c r="C7" s="21" t="n">
        <f aca="false">C6/(30*24*3600)</f>
        <v>0.00694444444444444</v>
      </c>
      <c r="D7" s="21" t="n">
        <f aca="false">D6/(30*24*3600)</f>
        <v>0.0694444444444445</v>
      </c>
      <c r="E7" s="21" t="n">
        <f aca="false">E6/(30*24*3600)</f>
        <v>6.94444444444445</v>
      </c>
      <c r="F7" s="6" t="s">
        <v>214</v>
      </c>
    </row>
    <row r="8" customFormat="false" ht="15" hidden="false" customHeight="false" outlineLevel="0" collapsed="false">
      <c r="A8" s="6" t="s">
        <v>215</v>
      </c>
      <c r="B8" s="22" t="n">
        <f aca="false">B7*Assumptions!$B$18</f>
        <v>0.00694444444444445</v>
      </c>
      <c r="C8" s="22" t="n">
        <f aca="false">C7*Assumptions!$B$18</f>
        <v>0.0694444444444445</v>
      </c>
      <c r="D8" s="22" t="n">
        <f aca="false">D7*Assumptions!$B$18</f>
        <v>0.694444444444444</v>
      </c>
      <c r="E8" s="22" t="n">
        <f aca="false">E7*Assumptions!$B$18</f>
        <v>69.4444444444444</v>
      </c>
      <c r="F8" s="6" t="s">
        <v>216</v>
      </c>
    </row>
    <row r="9" customFormat="false" ht="15" hidden="false" customHeight="false" outlineLevel="0" collapsed="false">
      <c r="A9" s="6" t="s">
        <v>217</v>
      </c>
      <c r="B9" s="23" t="n">
        <f aca="false">B8*Assumptions!$B$19</f>
        <v>0.0277777777777778</v>
      </c>
      <c r="C9" s="23" t="n">
        <f aca="false">C8*Assumptions!$B$19</f>
        <v>0.277777777777778</v>
      </c>
      <c r="D9" s="23" t="n">
        <f aca="false">D8*Assumptions!$B$19</f>
        <v>2.77777777777778</v>
      </c>
      <c r="E9" s="23" t="n">
        <f aca="false">E8*Assumptions!$B$19</f>
        <v>277.777777777778</v>
      </c>
      <c r="F9" s="6" t="s">
        <v>218</v>
      </c>
    </row>
    <row r="10" customFormat="false" ht="15" hidden="false" customHeight="false" outlineLevel="0" collapsed="false">
      <c r="A10" s="6" t="s">
        <v>219</v>
      </c>
      <c r="B10" s="20" t="n">
        <f aca="false">MAX(IF(B4&lt;=100,1,Assumptions!$B$23),ROUNDUP(B9/Assumptions!$B$20,0))</f>
        <v>1</v>
      </c>
      <c r="C10" s="20" t="n">
        <f aca="false">MAX(IF(C4&lt;=100,1,Assumptions!$B$23),ROUNDUP(C9/Assumptions!$B$20,0))</f>
        <v>2</v>
      </c>
      <c r="D10" s="20" t="n">
        <f aca="false">MAX(IF(D4&lt;=100,1,Assumptions!$B$23),ROUNDUP(D9/Assumptions!$B$20,0))</f>
        <v>2</v>
      </c>
      <c r="E10" s="20" t="n">
        <f aca="false">MAX(IF(E4&lt;=100,1,Assumptions!$B$23),ROUNDUP(E9/Assumptions!$B$20,0))</f>
        <v>35</v>
      </c>
      <c r="F10" s="6" t="s">
        <v>220</v>
      </c>
    </row>
    <row r="11" customFormat="false" ht="15" hidden="false" customHeight="false" outlineLevel="0" collapsed="false">
      <c r="A11" s="6" t="s">
        <v>221</v>
      </c>
      <c r="B11" s="24" t="n">
        <f aca="false">B4*Assumptions!$B$16*Assumptions!$B$14/1024</f>
        <v>1.171875</v>
      </c>
      <c r="C11" s="24" t="n">
        <f aca="false">C4*Assumptions!$B$16*Assumptions!$B$14/1024</f>
        <v>11.71875</v>
      </c>
      <c r="D11" s="24" t="n">
        <f aca="false">D4*Assumptions!$B$16*Assumptions!$B$14/1024</f>
        <v>117.1875</v>
      </c>
      <c r="E11" s="24" t="n">
        <f aca="false">E4*Assumptions!$B$16*Assumptions!$B$14/1024</f>
        <v>11718.75</v>
      </c>
      <c r="F11" s="6" t="s">
        <v>222</v>
      </c>
    </row>
    <row r="12" customFormat="false" ht="15" hidden="false" customHeight="false" outlineLevel="0" collapsed="false">
      <c r="A12" s="6" t="s">
        <v>223</v>
      </c>
      <c r="B12" s="24" t="n">
        <f aca="false">B4*Assumptions!$B$16*Assumptions!$B$15/1024</f>
        <v>0.390625</v>
      </c>
      <c r="C12" s="24" t="n">
        <f aca="false">C4*Assumptions!$B$16*Assumptions!$B$15/1024</f>
        <v>3.90625</v>
      </c>
      <c r="D12" s="24" t="n">
        <f aca="false">D4*Assumptions!$B$16*Assumptions!$B$15/1024</f>
        <v>39.0625</v>
      </c>
      <c r="E12" s="24" t="n">
        <f aca="false">E4*Assumptions!$B$16*Assumptions!$B$15/1024</f>
        <v>3906.25</v>
      </c>
      <c r="F12" s="6" t="s">
        <v>224</v>
      </c>
    </row>
    <row r="13" customFormat="false" ht="15" hidden="false" customHeight="false" outlineLevel="0" collapsed="false">
      <c r="A13" s="6" t="s">
        <v>225</v>
      </c>
      <c r="B13" s="20" t="n">
        <f aca="false">IF(B4&lt;=1000,1,MAX(1,ROUNDUP(B12/Assumptions!$B$22,0)))</f>
        <v>1</v>
      </c>
      <c r="C13" s="20" t="n">
        <f aca="false">IF(C4&lt;=1000,1,MAX(1,ROUNDUP(C12/Assumptions!$B$22,0)))</f>
        <v>1</v>
      </c>
      <c r="D13" s="20" t="n">
        <f aca="false">IF(D4&lt;=1000,1,MAX(1,ROUNDUP(D12/Assumptions!$B$22,0)))</f>
        <v>1</v>
      </c>
      <c r="E13" s="20" t="n">
        <f aca="false">IF(E4&lt;=1000,1,MAX(1,ROUNDUP(E12/Assumptions!$B$22,0)))</f>
        <v>14</v>
      </c>
      <c r="F13" s="6" t="s">
        <v>226</v>
      </c>
    </row>
    <row r="14" customFormat="false" ht="15" hidden="false" customHeight="false" outlineLevel="0" collapsed="false">
      <c r="A14" s="6" t="s">
        <v>227</v>
      </c>
      <c r="B14" s="20" t="n">
        <f aca="false">B6*Assumptions!$B$10*Assumptions!$B$7</f>
        <v>1530000</v>
      </c>
      <c r="C14" s="20" t="n">
        <f aca="false">C6*Assumptions!$B$10*Assumptions!$B$7</f>
        <v>15300000</v>
      </c>
      <c r="D14" s="20" t="n">
        <f aca="false">D6*Assumptions!$B$10*Assumptions!$B$7</f>
        <v>153000000</v>
      </c>
      <c r="E14" s="20" t="n">
        <f aca="false">E6*Assumptions!$B$10*Assumptions!$B$7</f>
        <v>15300000000</v>
      </c>
      <c r="F14" s="6" t="s">
        <v>228</v>
      </c>
    </row>
    <row r="15" customFormat="false" ht="15" hidden="false" customHeight="false" outlineLevel="0" collapsed="false">
      <c r="A15" s="6" t="s">
        <v>229</v>
      </c>
      <c r="B15" s="20" t="n">
        <f aca="false">B6*Assumptions!$B$10*Assumptions!$B$8</f>
        <v>382500</v>
      </c>
      <c r="C15" s="20" t="n">
        <f aca="false">C6*Assumptions!$B$10*Assumptions!$B$8</f>
        <v>3825000</v>
      </c>
      <c r="D15" s="20" t="n">
        <f aca="false">D6*Assumptions!$B$10*Assumptions!$B$8</f>
        <v>38250000</v>
      </c>
      <c r="E15" s="20" t="n">
        <f aca="false">E6*Assumptions!$B$10*Assumptions!$B$8</f>
        <v>3825000000</v>
      </c>
      <c r="F15" s="6" t="s">
        <v>230</v>
      </c>
    </row>
    <row r="16" customFormat="false" ht="15" hidden="false" customHeight="false" outlineLevel="0" collapsed="false">
      <c r="A16" s="6" t="s">
        <v>231</v>
      </c>
      <c r="B16" s="20" t="n">
        <f aca="false">B6*Assumptions!$B$9+B5*Assumptions!$B$11*Assumptions!$B$12*Assumptions!$B$13</f>
        <v>477000</v>
      </c>
      <c r="C16" s="20" t="n">
        <f aca="false">C6*Assumptions!$B$9+C5*Assumptions!$B$11*Assumptions!$B$12*Assumptions!$B$13</f>
        <v>4770000</v>
      </c>
      <c r="D16" s="20" t="n">
        <f aca="false">D6*Assumptions!$B$9+D5*Assumptions!$B$11*Assumptions!$B$12*Assumptions!$B$13</f>
        <v>47700000</v>
      </c>
      <c r="E16" s="20" t="n">
        <f aca="false">E6*Assumptions!$B$9+E5*Assumptions!$B$11*Assumptions!$B$12*Assumptions!$B$13</f>
        <v>4770000000</v>
      </c>
      <c r="F16" s="6" t="s">
        <v>232</v>
      </c>
    </row>
    <row r="17" customFormat="false" ht="15" hidden="false" customHeight="false" outlineLevel="0" collapsed="false">
      <c r="A17" s="6" t="s">
        <v>233</v>
      </c>
      <c r="B17" s="24" t="n">
        <f aca="false">B6*Assumptions!$B$17/1024/1024</f>
        <v>0.01373291015625</v>
      </c>
      <c r="C17" s="24" t="n">
        <f aca="false">C6*Assumptions!$B$17/1024/1024</f>
        <v>0.1373291015625</v>
      </c>
      <c r="D17" s="24" t="n">
        <f aca="false">D6*Assumptions!$B$17/1024/1024</f>
        <v>1.373291015625</v>
      </c>
      <c r="E17" s="24" t="n">
        <f aca="false">E6*Assumptions!$B$17/1024/1024</f>
        <v>137.3291015625</v>
      </c>
      <c r="F17" s="6" t="s">
        <v>234</v>
      </c>
    </row>
    <row r="18" customFormat="false" ht="15" hidden="false" customHeight="false" outlineLevel="0" collapsed="false">
      <c r="A18" s="25" t="s">
        <v>235</v>
      </c>
      <c r="B18" s="26"/>
      <c r="C18" s="26"/>
      <c r="D18" s="26"/>
      <c r="E18" s="26"/>
      <c r="F18" s="27"/>
    </row>
    <row r="19" customFormat="false" ht="15" hidden="false" customHeight="false" outlineLevel="0" collapsed="false">
      <c r="A19" s="6" t="s">
        <v>236</v>
      </c>
      <c r="B19" s="28" t="n">
        <f aca="false">B16/1000000*Prices!$E$8</f>
        <v>0.00954</v>
      </c>
      <c r="C19" s="28" t="n">
        <f aca="false">C16/1000000*Prices!$E$8</f>
        <v>0.0954</v>
      </c>
      <c r="D19" s="28" t="n">
        <f aca="false">D16/1000000*Prices!$E$8</f>
        <v>0.954</v>
      </c>
      <c r="E19" s="28" t="n">
        <f aca="false">E16/1000000*Prices!$E$8</f>
        <v>95.4</v>
      </c>
      <c r="F19" s="6" t="s">
        <v>237</v>
      </c>
    </row>
    <row r="20" customFormat="false" ht="15" hidden="false" customHeight="false" outlineLevel="0" collapsed="false">
      <c r="A20" s="6" t="s">
        <v>238</v>
      </c>
      <c r="B20" s="28" t="n">
        <f aca="false">B14/1000000*Prices!$E$4+B15/1000000*Prices!$E$5</f>
        <v>0.34425</v>
      </c>
      <c r="C20" s="28" t="n">
        <f aca="false">C14/1000000*Prices!$E$4+C15/1000000*Prices!$E$5</f>
        <v>3.4425</v>
      </c>
      <c r="D20" s="28" t="n">
        <f aca="false">D14/1000000*Prices!$E$4+D15/1000000*Prices!$E$5</f>
        <v>34.425</v>
      </c>
      <c r="E20" s="28" t="n">
        <f aca="false">E14/1000000*Prices!$E$4+E15/1000000*Prices!$E$5</f>
        <v>3442.5</v>
      </c>
      <c r="F20" s="6" t="s">
        <v>239</v>
      </c>
    </row>
    <row r="21" customFormat="false" ht="15" hidden="false" customHeight="false" outlineLevel="0" collapsed="false">
      <c r="A21" s="6" t="s">
        <v>240</v>
      </c>
      <c r="B21" s="28" t="n">
        <f aca="false">B14/1000000*Prices!$E$6+B15/1000000*Prices!$E$7</f>
        <v>6.885</v>
      </c>
      <c r="C21" s="28" t="n">
        <f aca="false">C14/1000000*Prices!$E$6+C15/1000000*Prices!$E$7</f>
        <v>68.85</v>
      </c>
      <c r="D21" s="28" t="n">
        <f aca="false">D14/1000000*Prices!$E$6+D15/1000000*Prices!$E$7</f>
        <v>688.5</v>
      </c>
      <c r="E21" s="28" t="n">
        <f aca="false">E14/1000000*Prices!$E$6+E15/1000000*Prices!$E$7</f>
        <v>68850</v>
      </c>
      <c r="F21" s="6" t="s">
        <v>239</v>
      </c>
    </row>
    <row r="22" customFormat="false" ht="15" hidden="false" customHeight="false" outlineLevel="0" collapsed="false">
      <c r="A22" s="25" t="s">
        <v>241</v>
      </c>
      <c r="B22" s="26"/>
      <c r="C22" s="26"/>
      <c r="D22" s="26"/>
      <c r="E22" s="26"/>
      <c r="F22" s="27"/>
    </row>
    <row r="23" customFormat="false" ht="15" hidden="false" customHeight="false" outlineLevel="0" collapsed="false">
      <c r="A23" s="6" t="s">
        <v>242</v>
      </c>
      <c r="B23" s="28" t="n">
        <f aca="false">B10*Prices!$E$11*Assumptions!$B$4</f>
        <v>60.736</v>
      </c>
      <c r="C23" s="28" t="n">
        <f aca="false">C10*Prices!$E$11*Assumptions!$B$4</f>
        <v>121.472</v>
      </c>
      <c r="D23" s="28" t="n">
        <f aca="false">D10*Prices!$E$11*Assumptions!$B$4</f>
        <v>121.472</v>
      </c>
      <c r="E23" s="28" t="n">
        <f aca="false">E10*Prices!$E$11*Assumptions!$B$4</f>
        <v>2125.76</v>
      </c>
      <c r="F23" s="6" t="s">
        <v>243</v>
      </c>
    </row>
    <row r="24" customFormat="false" ht="15" hidden="false" customHeight="false" outlineLevel="0" collapsed="false">
      <c r="A24" s="6" t="s">
        <v>244</v>
      </c>
      <c r="B24" s="28" t="n">
        <f aca="false">IF(B4&lt;=1000,Prices!$E$13,B13*Prices!$E$14)*Assumptions!$B$4</f>
        <v>52.56</v>
      </c>
      <c r="C24" s="28" t="n">
        <f aca="false">IF(C4&lt;=1000,Prices!$E$13,C13*Prices!$E$14)*Assumptions!$B$4</f>
        <v>52.56</v>
      </c>
      <c r="D24" s="28" t="n">
        <f aca="false">IF(D4&lt;=1000,Prices!$E$13,D13*Prices!$E$14)*Assumptions!$B$4</f>
        <v>328.5</v>
      </c>
      <c r="E24" s="28" t="n">
        <f aca="false">IF(E4&lt;=1000,Prices!$E$13,E13*Prices!$E$14)*Assumptions!$B$4</f>
        <v>4599</v>
      </c>
      <c r="F24" s="6" t="s">
        <v>245</v>
      </c>
    </row>
    <row r="25" customFormat="false" ht="15" hidden="false" customHeight="false" outlineLevel="0" collapsed="false">
      <c r="A25" s="6" t="s">
        <v>246</v>
      </c>
      <c r="B25" s="28" t="n">
        <f aca="false">B12*Prices!$E$15*IF(B4&lt;=1000,1,2)</f>
        <v>0.044921875</v>
      </c>
      <c r="C25" s="28" t="n">
        <f aca="false">C12*Prices!$E$15*IF(C4&lt;=1000,1,2)</f>
        <v>0.44921875</v>
      </c>
      <c r="D25" s="28" t="n">
        <f aca="false">D12*Prices!$E$15*IF(D4&lt;=1000,1,2)</f>
        <v>8.984375</v>
      </c>
      <c r="E25" s="28" t="n">
        <f aca="false">E12*Prices!$E$15*IF(E4&lt;=1000,1,2)</f>
        <v>898.4375</v>
      </c>
      <c r="F25" s="6" t="s">
        <v>247</v>
      </c>
    </row>
    <row r="26" customFormat="false" ht="15" hidden="false" customHeight="false" outlineLevel="0" collapsed="false">
      <c r="A26" s="6" t="s">
        <v>248</v>
      </c>
      <c r="B26" s="28" t="n">
        <f aca="false">MAX(0,B12*(Assumptions!$B$21-1))*Prices!$E$16</f>
        <v>0.0185546875</v>
      </c>
      <c r="C26" s="28" t="n">
        <f aca="false">MAX(0,C12*(Assumptions!$B$21-1))*Prices!$E$16</f>
        <v>0.185546875</v>
      </c>
      <c r="D26" s="28" t="n">
        <f aca="false">MAX(0,D12*(Assumptions!$B$21-1))*Prices!$E$16</f>
        <v>1.85546875</v>
      </c>
      <c r="E26" s="28" t="n">
        <f aca="false">MAX(0,E12*(Assumptions!$B$21-1))*Prices!$E$16</f>
        <v>185.546875</v>
      </c>
      <c r="F26" s="6" t="s">
        <v>249</v>
      </c>
    </row>
    <row r="27" customFormat="false" ht="15" hidden="false" customHeight="false" outlineLevel="0" collapsed="false">
      <c r="A27" s="6" t="s">
        <v>250</v>
      </c>
      <c r="B27" s="28" t="n">
        <f aca="false">B11*Prices!$E$17</f>
        <v>0.026953125</v>
      </c>
      <c r="C27" s="28" t="n">
        <f aca="false">C11*Prices!$E$17</f>
        <v>0.26953125</v>
      </c>
      <c r="D27" s="28" t="n">
        <f aca="false">D11*Prices!$E$17</f>
        <v>2.6953125</v>
      </c>
      <c r="E27" s="28" t="n">
        <f aca="false">E11*Prices!$E$17</f>
        <v>269.53125</v>
      </c>
      <c r="F27" s="6" t="s">
        <v>251</v>
      </c>
    </row>
    <row r="28" customFormat="false" ht="15" hidden="false" customHeight="false" outlineLevel="0" collapsed="false">
      <c r="A28" s="6" t="s">
        <v>252</v>
      </c>
      <c r="B28" s="28" t="n">
        <f aca="false">(B5*Assumptions!$B$11/1000*Prices!$E$18)+(B5*Assumptions!$B$11/1000*Prices!$E$19)</f>
        <v>0.000324</v>
      </c>
      <c r="C28" s="28" t="n">
        <f aca="false">(C5*Assumptions!$B$11/1000*Prices!$E$18)+(C5*Assumptions!$B$11/1000*Prices!$E$19)</f>
        <v>0.00324</v>
      </c>
      <c r="D28" s="28" t="n">
        <f aca="false">(D5*Assumptions!$B$11/1000*Prices!$E$18)+(D5*Assumptions!$B$11/1000*Prices!$E$19)</f>
        <v>0.0324</v>
      </c>
      <c r="E28" s="28" t="n">
        <f aca="false">(E5*Assumptions!$B$11/1000*Prices!$E$18)+(E5*Assumptions!$B$11/1000*Prices!$E$19)</f>
        <v>3.24</v>
      </c>
      <c r="F28" s="6" t="s">
        <v>253</v>
      </c>
    </row>
    <row r="29" customFormat="false" ht="15" hidden="false" customHeight="false" outlineLevel="0" collapsed="false">
      <c r="A29" s="6" t="s">
        <v>254</v>
      </c>
      <c r="B29" s="28" t="n">
        <f aca="false">MAX(0,B17-Prices!$E$21)*Prices!$E$20</f>
        <v>0</v>
      </c>
      <c r="C29" s="28" t="n">
        <f aca="false">MAX(0,C17-Prices!$E$21)*Prices!$E$20</f>
        <v>0</v>
      </c>
      <c r="D29" s="28" t="n">
        <f aca="false">MAX(0,D17-Prices!$E$21)*Prices!$E$20</f>
        <v>0</v>
      </c>
      <c r="E29" s="28" t="n">
        <f aca="false">MAX(0,E17-Prices!$E$21)*Prices!$E$20</f>
        <v>3.359619140625</v>
      </c>
      <c r="F29" s="6" t="s">
        <v>255</v>
      </c>
    </row>
    <row r="30" customFormat="false" ht="15" hidden="false" customHeight="false" outlineLevel="0" collapsed="false">
      <c r="A30" s="29" t="s">
        <v>256</v>
      </c>
      <c r="B30" s="30" t="n">
        <f aca="false">SUM(B23:B29)</f>
        <v>113.3867536875</v>
      </c>
      <c r="C30" s="30" t="n">
        <f aca="false">SUM(C23:C29)</f>
        <v>174.939536875</v>
      </c>
      <c r="D30" s="30" t="n">
        <f aca="false">SUM(D23:D29)</f>
        <v>463.53955625</v>
      </c>
      <c r="E30" s="30" t="n">
        <f aca="false">SUM(E23:E29)</f>
        <v>8084.87524414063</v>
      </c>
      <c r="F30" s="6" t="s">
        <v>257</v>
      </c>
    </row>
    <row r="31" customFormat="false" ht="15" hidden="false" customHeight="false" outlineLevel="0" collapsed="false">
      <c r="A31" s="25" t="s">
        <v>258</v>
      </c>
      <c r="B31" s="26"/>
      <c r="C31" s="26"/>
      <c r="D31" s="26"/>
      <c r="E31" s="26"/>
      <c r="F31" s="27"/>
    </row>
    <row r="32" customFormat="false" ht="15" hidden="false" customHeight="false" outlineLevel="0" collapsed="false">
      <c r="A32" s="6" t="s">
        <v>259</v>
      </c>
      <c r="B32" s="31" t="s">
        <v>260</v>
      </c>
      <c r="C32" s="31" t="s">
        <v>261</v>
      </c>
      <c r="D32" s="31" t="s">
        <v>262</v>
      </c>
      <c r="E32" s="31" t="s">
        <v>262</v>
      </c>
      <c r="F32" s="6" t="s">
        <v>263</v>
      </c>
    </row>
    <row r="33" customFormat="false" ht="15" hidden="false" customHeight="false" outlineLevel="0" collapsed="false">
      <c r="A33" s="6" t="s">
        <v>264</v>
      </c>
      <c r="B33" s="32" t="n">
        <f aca="false">Prices!$E$9</f>
        <v>14.99</v>
      </c>
      <c r="C33" s="32" t="n">
        <f aca="false">Prices!$E$10</f>
        <v>28.99</v>
      </c>
      <c r="D33" s="28" t="s">
        <v>262</v>
      </c>
      <c r="E33" s="28" t="s">
        <v>262</v>
      </c>
      <c r="F33" s="6" t="s">
        <v>265</v>
      </c>
    </row>
    <row r="34" customFormat="false" ht="15" hidden="false" customHeight="false" outlineLevel="0" collapsed="false">
      <c r="A34" s="25" t="s">
        <v>266</v>
      </c>
      <c r="B34" s="26"/>
      <c r="C34" s="26"/>
      <c r="D34" s="26"/>
      <c r="E34" s="26"/>
      <c r="F34" s="27"/>
    </row>
    <row r="35" customFormat="false" ht="15" hidden="false" customHeight="false" outlineLevel="0" collapsed="false">
      <c r="A35" s="29" t="s">
        <v>267</v>
      </c>
      <c r="B35" s="30" t="n">
        <f aca="false">B30+B20+B19</f>
        <v>113.7405436875</v>
      </c>
      <c r="C35" s="30" t="n">
        <f aca="false">C30+C20+C19</f>
        <v>178.477436875</v>
      </c>
      <c r="D35" s="30" t="n">
        <f aca="false">D30+D20+D19</f>
        <v>498.91855625</v>
      </c>
      <c r="E35" s="30" t="n">
        <f aca="false">E30+E20+E19</f>
        <v>11622.7752441406</v>
      </c>
      <c r="F35" s="6"/>
    </row>
    <row r="36" customFormat="false" ht="15" hidden="false" customHeight="false" outlineLevel="0" collapsed="false">
      <c r="A36" s="29" t="s">
        <v>268</v>
      </c>
      <c r="B36" s="30" t="n">
        <f aca="false">B30+B21+B19</f>
        <v>120.2812936875</v>
      </c>
      <c r="C36" s="30" t="n">
        <f aca="false">C30+C21+C19</f>
        <v>243.884936875</v>
      </c>
      <c r="D36" s="30" t="n">
        <f aca="false">D30+D21+D19</f>
        <v>1152.99355625</v>
      </c>
      <c r="E36" s="30" t="n">
        <f aca="false">E30+E21+E19</f>
        <v>77030.2752441406</v>
      </c>
      <c r="F36" s="6"/>
    </row>
    <row r="37" customFormat="false" ht="15" hidden="false" customHeight="false" outlineLevel="0" collapsed="false">
      <c r="A37" s="29" t="s">
        <v>269</v>
      </c>
      <c r="B37" s="30" t="n">
        <f aca="false">B33+B20+B19</f>
        <v>15.34379</v>
      </c>
      <c r="C37" s="30" t="n">
        <f aca="false">C33+C20+C19</f>
        <v>32.5279</v>
      </c>
      <c r="D37" s="30" t="s">
        <v>262</v>
      </c>
      <c r="E37" s="30" t="s">
        <v>262</v>
      </c>
      <c r="F37" s="6" t="s">
        <v>270</v>
      </c>
    </row>
    <row r="38" customFormat="false" ht="15" hidden="false" customHeight="false" outlineLevel="0" collapsed="false">
      <c r="A38" s="29" t="s">
        <v>271</v>
      </c>
      <c r="B38" s="30" t="n">
        <f aca="false">B33+B21+B19</f>
        <v>21.88454</v>
      </c>
      <c r="C38" s="30" t="n">
        <f aca="false">C33+C21+C19</f>
        <v>97.9354</v>
      </c>
      <c r="D38" s="30" t="s">
        <v>262</v>
      </c>
      <c r="E38" s="30" t="s">
        <v>262</v>
      </c>
      <c r="F38" s="6" t="s">
        <v>270</v>
      </c>
    </row>
    <row r="39" customFormat="false" ht="15" hidden="false" customHeight="false" outlineLevel="0" collapsed="false">
      <c r="A39" s="6" t="s">
        <v>272</v>
      </c>
      <c r="B39" s="33" t="n">
        <f aca="false">B35/B4</f>
        <v>1.137405436875</v>
      </c>
      <c r="C39" s="33" t="n">
        <f aca="false">C35/C4</f>
        <v>0.178477436875</v>
      </c>
      <c r="D39" s="33" t="n">
        <f aca="false">D35/D4</f>
        <v>0.049891855625</v>
      </c>
      <c r="E39" s="33" t="n">
        <f aca="false">E35/E4</f>
        <v>0.0116227752441406</v>
      </c>
      <c r="F39" s="6"/>
    </row>
    <row r="40" customFormat="false" ht="15" hidden="false" customHeight="false" outlineLevel="0" collapsed="false">
      <c r="A40" s="25" t="s">
        <v>273</v>
      </c>
      <c r="B40" s="26"/>
      <c r="C40" s="26"/>
      <c r="D40" s="26"/>
      <c r="E40" s="26"/>
      <c r="F40" s="27"/>
    </row>
    <row r="41" customFormat="false" ht="15" hidden="false" customHeight="false" outlineLevel="0" collapsed="false">
      <c r="A41" s="6" t="s">
        <v>274</v>
      </c>
      <c r="B41" s="28" t="n">
        <f aca="false">Prices!$E$12*Assumptions!$B$4</f>
        <v>734.38</v>
      </c>
      <c r="C41" s="28" t="n">
        <f aca="false">Prices!$E$12*Assumptions!$B$4</f>
        <v>734.38</v>
      </c>
      <c r="D41" s="28" t="n">
        <f aca="false">Prices!$E$12*Assumptions!$B$4</f>
        <v>734.38</v>
      </c>
      <c r="E41" s="28" t="n">
        <f aca="false">Prices!$E$12*Assumptions!$B$4</f>
        <v>734.38</v>
      </c>
      <c r="F41" s="6" t="s">
        <v>275</v>
      </c>
    </row>
    <row r="42" customFormat="false" ht="23.85" hidden="false" customHeight="false" outlineLevel="0" collapsed="false">
      <c r="A42" s="6" t="s">
        <v>276</v>
      </c>
      <c r="B42" s="20" t="n">
        <f aca="false">B41/((B20)/MAX(B6*Assumptions!$B$10,1))</f>
        <v>3263911.11111111</v>
      </c>
      <c r="C42" s="20" t="n">
        <f aca="false">C41/((C20)/MAX(C6*Assumptions!$B$10,1))</f>
        <v>3263911.11111111</v>
      </c>
      <c r="D42" s="20" t="n">
        <f aca="false">D41/((D20)/MAX(D6*Assumptions!$B$10,1))</f>
        <v>3263911.11111111</v>
      </c>
      <c r="E42" s="20" t="n">
        <f aca="false">E41/((E20)/MAX(E6*Assumptions!$B$10,1))</f>
        <v>3263911.11111111</v>
      </c>
      <c r="F42" s="6" t="s">
        <v>277</v>
      </c>
    </row>
    <row r="44" customFormat="false" ht="15" hidden="false" customHeight="true" outlineLevel="0" collapsed="false">
      <c r="A44" s="34" t="s">
        <v>278</v>
      </c>
      <c r="B44" s="34"/>
      <c r="C44" s="34"/>
      <c r="D44" s="34"/>
      <c r="E44" s="34"/>
      <c r="F44" s="34"/>
    </row>
    <row r="45" customFormat="false" ht="31.5" hidden="false" customHeight="true" outlineLevel="0" collapsed="false">
      <c r="A45" s="35" t="s">
        <v>279</v>
      </c>
      <c r="B45" s="35"/>
      <c r="C45" s="35"/>
      <c r="D45" s="35"/>
      <c r="E45" s="35"/>
      <c r="F45" s="35"/>
    </row>
    <row r="46" customFormat="false" ht="31.5" hidden="false" customHeight="true" outlineLevel="0" collapsed="false">
      <c r="A46" s="35" t="s">
        <v>280</v>
      </c>
      <c r="B46" s="35"/>
      <c r="C46" s="35"/>
      <c r="D46" s="35"/>
      <c r="E46" s="35"/>
      <c r="F46" s="35"/>
    </row>
    <row r="47" customFormat="false" ht="31.5" hidden="false" customHeight="true" outlineLevel="0" collapsed="false">
      <c r="A47" s="35" t="s">
        <v>281</v>
      </c>
      <c r="B47" s="35"/>
      <c r="C47" s="35"/>
      <c r="D47" s="35"/>
      <c r="E47" s="35"/>
      <c r="F47" s="35"/>
    </row>
    <row r="48" customFormat="false" ht="31.5" hidden="false" customHeight="true" outlineLevel="0" collapsed="false">
      <c r="A48" s="35" t="s">
        <v>282</v>
      </c>
      <c r="B48" s="35"/>
      <c r="C48" s="35"/>
      <c r="D48" s="35"/>
      <c r="E48" s="35"/>
      <c r="F48" s="35"/>
    </row>
    <row r="49" customFormat="false" ht="31.5" hidden="false" customHeight="true" outlineLevel="0" collapsed="false">
      <c r="A49" s="35" t="s">
        <v>283</v>
      </c>
      <c r="B49" s="35"/>
      <c r="C49" s="35"/>
      <c r="D49" s="35"/>
      <c r="E49" s="35"/>
      <c r="F49" s="35"/>
    </row>
  </sheetData>
  <mergeCells count="6">
    <mergeCell ref="A44:F44"/>
    <mergeCell ref="A45:F45"/>
    <mergeCell ref="A46:F46"/>
    <mergeCell ref="A47:F47"/>
    <mergeCell ref="A48:F48"/>
    <mergeCell ref="A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2026-10-25T18:14:09Z</dcterms:created>
  <dc:creator>openpyxl</dc:creator>
  <dc:description/>
  <dc:language>en-US</dc:language>
  <cp:lastModifiedBy/>
  <dcterms:modified xsi:type="dcterms:W3CDTF">2026-10-25T18:14:09Z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